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sica Lewis\Applied BAS LLC\Applied BAS - Documents\Company Documents\Forms and Templates\"/>
    </mc:Choice>
  </mc:AlternateContent>
  <xr:revisionPtr revIDLastSave="0" documentId="13_ncr:1_{2FDCAB07-76B4-4C21-9FF3-3D2340BC9FB9}" xr6:coauthVersionLast="47" xr6:coauthVersionMax="47" xr10:uidLastSave="{00000000-0000-0000-0000-000000000000}"/>
  <bookViews>
    <workbookView xWindow="-108" yWindow="-108" windowWidth="23256" windowHeight="12456" activeTab="5" xr2:uid="{C025DD63-309E-41AC-AF38-C78614F6152B}"/>
  </bookViews>
  <sheets>
    <sheet name="Labor &amp; Scope" sheetId="3" r:id="rId1"/>
    <sheet name="Materials" sheetId="7" r:id="rId2"/>
    <sheet name="Sub-Labor" sheetId="6" r:id="rId3"/>
    <sheet name="Misc" sheetId="8" r:id="rId4"/>
    <sheet name="Final Estimate" sheetId="2" r:id="rId5"/>
    <sheet name="Billing" sheetId="1" r:id="rId6"/>
  </sheets>
  <calcPr calcId="191029" fullPrecision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7" i="3" l="1"/>
  <c r="E57" i="3"/>
  <c r="E51" i="3"/>
  <c r="E52" i="3"/>
  <c r="E53" i="3"/>
  <c r="E54" i="3"/>
  <c r="E5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M16" i="1"/>
  <c r="M17" i="1"/>
  <c r="M18" i="1"/>
  <c r="M19" i="1"/>
  <c r="M15" i="1"/>
  <c r="G35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C37" i="6"/>
  <c r="E35" i="6"/>
  <c r="E33" i="6"/>
  <c r="E34" i="6"/>
  <c r="E21" i="6"/>
  <c r="E22" i="6"/>
  <c r="E23" i="6"/>
  <c r="E24" i="6"/>
  <c r="E25" i="6"/>
  <c r="E26" i="6"/>
  <c r="E27" i="6"/>
  <c r="E28" i="6"/>
  <c r="E29" i="6"/>
  <c r="E30" i="6"/>
  <c r="E31" i="6"/>
  <c r="E32" i="6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7" i="7"/>
  <c r="A8" i="7"/>
  <c r="A9" i="7"/>
  <c r="A6" i="7"/>
  <c r="G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E31" i="3"/>
  <c r="E35" i="3"/>
  <c r="G36" i="8" l="1"/>
  <c r="C13" i="2" s="1"/>
  <c r="M20" i="1"/>
  <c r="E7" i="1" s="1"/>
  <c r="G37" i="7"/>
  <c r="C11" i="2" s="1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2" i="3"/>
  <c r="E33" i="3"/>
  <c r="E34" i="3"/>
  <c r="E6" i="3"/>
  <c r="E37" i="6" l="1"/>
  <c r="C12" i="2" s="1"/>
  <c r="E11" i="2" l="1"/>
  <c r="F11" i="2" s="1"/>
  <c r="L20" i="1"/>
  <c r="F20" i="1"/>
  <c r="H20" i="1"/>
  <c r="J20" i="1"/>
  <c r="D20" i="1"/>
  <c r="G19" i="1" l="1"/>
  <c r="G15" i="1"/>
  <c r="G17" i="1"/>
  <c r="G18" i="1"/>
  <c r="G16" i="1"/>
  <c r="E12" i="2"/>
  <c r="F12" i="2" s="1"/>
  <c r="E13" i="2"/>
  <c r="F13" i="2" s="1"/>
  <c r="I16" i="1" l="1"/>
  <c r="I17" i="1"/>
  <c r="I18" i="1"/>
  <c r="I19" i="1"/>
  <c r="I15" i="1"/>
  <c r="G20" i="1"/>
  <c r="E3" i="1" s="1"/>
  <c r="I20" i="1" l="1"/>
  <c r="E4" i="1" s="1"/>
  <c r="C10" i="2" l="1"/>
  <c r="E10" i="2" l="1"/>
  <c r="E15" i="2" s="1"/>
  <c r="C15" i="2"/>
  <c r="F10" i="2" l="1"/>
  <c r="F14" i="2" l="1"/>
  <c r="F19" i="2"/>
  <c r="F20" i="2" l="1"/>
  <c r="F21" i="2" s="1"/>
  <c r="E15" i="1"/>
  <c r="E18" i="1"/>
  <c r="E16" i="1"/>
  <c r="N16" i="1" s="1"/>
  <c r="E17" i="1"/>
  <c r="E19" i="1"/>
  <c r="K19" i="1"/>
  <c r="K15" i="1"/>
  <c r="K17" i="1"/>
  <c r="K16" i="1"/>
  <c r="K18" i="1"/>
  <c r="N18" i="1" l="1"/>
  <c r="O18" i="1" s="1"/>
  <c r="P18" i="1" s="1"/>
  <c r="N19" i="1"/>
  <c r="N17" i="1"/>
  <c r="D8" i="1"/>
  <c r="O16" i="1"/>
  <c r="P16" i="1" s="1"/>
  <c r="K20" i="1"/>
  <c r="E5" i="1" s="1"/>
  <c r="N15" i="1"/>
  <c r="E20" i="1"/>
  <c r="E2" i="1" s="1"/>
  <c r="O15" i="1" l="1"/>
  <c r="P15" i="1" s="1"/>
  <c r="N20" i="1"/>
  <c r="E6" i="1" s="1"/>
  <c r="O17" i="1"/>
  <c r="P17" i="1" s="1"/>
  <c r="O19" i="1"/>
  <c r="P19" i="1" s="1"/>
  <c r="Q15" i="1" l="1"/>
  <c r="Q16" i="1" s="1"/>
  <c r="Q17" i="1" s="1"/>
  <c r="Q18" i="1" s="1"/>
  <c r="Q19" i="1" s="1"/>
  <c r="P20" i="1"/>
  <c r="E8" i="1" s="1"/>
  <c r="O20" i="1"/>
  <c r="D10" i="1" s="1"/>
</calcChain>
</file>

<file path=xl/sharedStrings.xml><?xml version="1.0" encoding="utf-8"?>
<sst xmlns="http://schemas.openxmlformats.org/spreadsheetml/2006/main" count="81" uniqueCount="68">
  <si>
    <t>Total Contract Amount</t>
  </si>
  <si>
    <t>Materials</t>
  </si>
  <si>
    <t>Labor</t>
  </si>
  <si>
    <t>TOTAL AMOUNT</t>
  </si>
  <si>
    <t>Sub-Contr</t>
  </si>
  <si>
    <t>Amount Remaining</t>
  </si>
  <si>
    <t>RUNNING TOTAL</t>
  </si>
  <si>
    <t>BILLING CYCLE</t>
  </si>
  <si>
    <t>SUB-TOTAL AMOUNT</t>
  </si>
  <si>
    <t>LESS RETAINAGE</t>
  </si>
  <si>
    <t>CHANGE ORDER AMOUNT (%)</t>
  </si>
  <si>
    <t>Sub Total</t>
  </si>
  <si>
    <t>Misc. + Warranty</t>
  </si>
  <si>
    <t>COSTS</t>
  </si>
  <si>
    <t xml:space="preserve"> RETAINAGE</t>
  </si>
  <si>
    <t>AMOUNT INVOICED</t>
  </si>
  <si>
    <t>LABOR (%)</t>
  </si>
  <si>
    <t>LABOR ($)</t>
  </si>
  <si>
    <t>MATERIALS (%)</t>
  </si>
  <si>
    <t>MATERIALS ($)</t>
  </si>
  <si>
    <t>SUB-CONTR (%)</t>
  </si>
  <si>
    <t>SUB-CONTR ($)</t>
  </si>
  <si>
    <t>MISC. + WNTY (%)</t>
  </si>
  <si>
    <t>MISC. + WNTY ($)</t>
  </si>
  <si>
    <t>Total Misc. Cost:</t>
  </si>
  <si>
    <t>Engineering Time</t>
  </si>
  <si>
    <t>Training Time</t>
  </si>
  <si>
    <t>PM Time</t>
  </si>
  <si>
    <t xml:space="preserve"> Labor Cost: </t>
  </si>
  <si>
    <t xml:space="preserve">  Total Material Cost:  </t>
  </si>
  <si>
    <t xml:space="preserve"> Sub-Labor Cost: </t>
  </si>
  <si>
    <t>ITEM</t>
  </si>
  <si>
    <t>SCOPE OF WORK</t>
  </si>
  <si>
    <t>HOURS</t>
  </si>
  <si>
    <t>HOURLY RATE</t>
  </si>
  <si>
    <t>SUBTOTAL</t>
  </si>
  <si>
    <t xml:space="preserve">ITEM </t>
  </si>
  <si>
    <t>DESCRIPTION</t>
  </si>
  <si>
    <t>PART NUMBER</t>
  </si>
  <si>
    <t>VENDOR</t>
  </si>
  <si>
    <t>QTY</t>
  </si>
  <si>
    <t>UNIT COST</t>
  </si>
  <si>
    <t>TOTAL COST</t>
  </si>
  <si>
    <t>DATE:</t>
  </si>
  <si>
    <t>CLIENT:</t>
  </si>
  <si>
    <t>SCOPE:</t>
  </si>
  <si>
    <t>COST</t>
  </si>
  <si>
    <t>MARGIN (%)</t>
  </si>
  <si>
    <t>MARGIN ($)</t>
  </si>
  <si>
    <t>COST + MARGIN</t>
  </si>
  <si>
    <t>LABOR TOTAL</t>
  </si>
  <si>
    <t>MATERIAL TOTAL</t>
  </si>
  <si>
    <t>SUB LABOR TOTAL</t>
  </si>
  <si>
    <t>WARRANTY</t>
  </si>
  <si>
    <t>SUBTOTAL COST</t>
  </si>
  <si>
    <t xml:space="preserve"> TAX (8.25%)</t>
  </si>
  <si>
    <t>MISC TOTAL</t>
  </si>
  <si>
    <t>COST ESTIMATE SUMMARY</t>
  </si>
  <si>
    <t>LABOR COST AND SCOPE</t>
  </si>
  <si>
    <t>MATERIALS</t>
  </si>
  <si>
    <t>SUB-CONTRACTOR LABOR</t>
  </si>
  <si>
    <t>MISCELLANEOUS</t>
  </si>
  <si>
    <t>Change Order Amout</t>
  </si>
  <si>
    <t>CHANGE ORDER AMOUNT ($)</t>
  </si>
  <si>
    <t>INVOICE 
DATE</t>
  </si>
  <si>
    <t>INVOICE 
NO.</t>
  </si>
  <si>
    <t>TRIP CHARGE</t>
  </si>
  <si>
    <t>FREIGHT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</si>
</sst>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"/>
    <numFmt numFmtId="165" formatCode="0.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28"/>
      <color theme="0"/>
      <name val="Arial Black"/>
      <family val="2"/>
    </font>
    <font>
      <sz val="12"/>
      <color theme="1" tint="0.34998626667073579"/>
      <name val="Calibri"/>
      <family val="2"/>
      <scheme val="minor"/>
    </font>
    <font>
      <sz val="12"/>
      <color theme="1"/>
      <name val="Calibri"/>
      <family val="2"/>
    </font>
    <font>
      <b/>
      <sz val="28"/>
      <color theme="0"/>
      <name val="Arial Black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DEEFA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3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44" fontId="0" fillId="0" borderId="0" xfId="1" applyFont="1" applyBorder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4" fontId="0" fillId="0" borderId="0" xfId="0" applyNumberFormat="1"/>
    <xf numFmtId="44" fontId="0" fillId="0" borderId="18" xfId="1" applyFont="1" applyBorder="1" applyAlignment="1">
      <alignment horizontal="center"/>
    </xf>
    <xf numFmtId="44" fontId="0" fillId="0" borderId="17" xfId="1" applyFont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17" xfId="0" applyNumberFormat="1" applyFill="1" applyBorder="1" applyAlignment="1">
      <alignment horizontal="center"/>
    </xf>
    <xf numFmtId="44" fontId="0" fillId="0" borderId="0" xfId="0" applyNumberFormat="1" applyAlignment="1">
      <alignment horizontal="center"/>
    </xf>
    <xf numFmtId="1" fontId="0" fillId="2" borderId="18" xfId="0" applyNumberFormat="1" applyFill="1" applyBorder="1" applyAlignment="1">
      <alignment horizontal="center"/>
    </xf>
    <xf numFmtId="1" fontId="0" fillId="2" borderId="17" xfId="0" applyNumberForma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0" fontId="0" fillId="0" borderId="4" xfId="0" applyBorder="1"/>
    <xf numFmtId="44" fontId="0" fillId="3" borderId="21" xfId="1" applyFont="1" applyFill="1" applyBorder="1"/>
    <xf numFmtId="9" fontId="0" fillId="2" borderId="2" xfId="2" applyFont="1" applyFill="1" applyBorder="1" applyAlignment="1">
      <alignment horizontal="center"/>
    </xf>
    <xf numFmtId="44" fontId="0" fillId="0" borderId="3" xfId="0" applyNumberFormat="1" applyBorder="1"/>
    <xf numFmtId="44" fontId="0" fillId="3" borderId="22" xfId="1" applyFont="1" applyFill="1" applyBorder="1"/>
    <xf numFmtId="0" fontId="3" fillId="0" borderId="1" xfId="0" applyFont="1" applyBorder="1" applyAlignment="1">
      <alignment horizontal="center"/>
    </xf>
    <xf numFmtId="0" fontId="8" fillId="0" borderId="0" xfId="0" applyFont="1"/>
    <xf numFmtId="44" fontId="6" fillId="0" borderId="17" xfId="1" applyFont="1" applyBorder="1" applyAlignment="1" applyProtection="1">
      <alignment horizontal="center"/>
    </xf>
    <xf numFmtId="44" fontId="1" fillId="3" borderId="20" xfId="1" applyFont="1" applyFill="1" applyBorder="1"/>
    <xf numFmtId="44" fontId="1" fillId="3" borderId="25" xfId="1" applyFont="1" applyFill="1" applyBorder="1"/>
    <xf numFmtId="44" fontId="1" fillId="2" borderId="20" xfId="1" applyFont="1" applyFill="1" applyBorder="1"/>
    <xf numFmtId="44" fontId="3" fillId="3" borderId="24" xfId="1" applyFont="1" applyFill="1" applyBorder="1"/>
    <xf numFmtId="44" fontId="2" fillId="0" borderId="18" xfId="1" applyFont="1" applyBorder="1" applyAlignment="1">
      <alignment horizontal="center"/>
    </xf>
    <xf numFmtId="44" fontId="2" fillId="0" borderId="0" xfId="0" applyNumberFormat="1" applyFont="1" applyAlignment="1">
      <alignment horizontal="center"/>
    </xf>
    <xf numFmtId="44" fontId="0" fillId="0" borderId="17" xfId="0" applyNumberFormat="1" applyBorder="1" applyAlignment="1">
      <alignment horizontal="center"/>
    </xf>
    <xf numFmtId="44" fontId="0" fillId="0" borderId="17" xfId="0" applyNumberFormat="1" applyBorder="1"/>
    <xf numFmtId="44" fontId="0" fillId="0" borderId="18" xfId="0" applyNumberFormat="1" applyBorder="1" applyAlignment="1">
      <alignment horizontal="center"/>
    </xf>
    <xf numFmtId="44" fontId="0" fillId="0" borderId="18" xfId="0" applyNumberFormat="1" applyBorder="1"/>
    <xf numFmtId="0" fontId="0" fillId="0" borderId="0" xfId="0" applyAlignment="1">
      <alignment horizontal="center" vertical="center"/>
    </xf>
    <xf numFmtId="0" fontId="5" fillId="3" borderId="32" xfId="0" applyFont="1" applyFill="1" applyBorder="1" applyAlignment="1">
      <alignment horizontal="right"/>
    </xf>
    <xf numFmtId="0" fontId="5" fillId="3" borderId="35" xfId="0" applyFont="1" applyFill="1" applyBorder="1" applyAlignment="1">
      <alignment horizontal="right"/>
    </xf>
    <xf numFmtId="0" fontId="5" fillId="3" borderId="37" xfId="0" applyFont="1" applyFill="1" applyBorder="1" applyAlignment="1">
      <alignment horizontal="right" wrapText="1"/>
    </xf>
    <xf numFmtId="0" fontId="3" fillId="7" borderId="13" xfId="0" applyFont="1" applyFill="1" applyBorder="1" applyAlignment="1">
      <alignment horizontal="center" wrapText="1"/>
    </xf>
    <xf numFmtId="0" fontId="4" fillId="7" borderId="10" xfId="0" applyFont="1" applyFill="1" applyBorder="1" applyAlignment="1">
      <alignment horizontal="center" vertical="center" wrapText="1"/>
    </xf>
    <xf numFmtId="0" fontId="4" fillId="7" borderId="31" xfId="0" applyFont="1" applyFill="1" applyBorder="1" applyAlignment="1">
      <alignment horizontal="center" vertical="center" wrapText="1"/>
    </xf>
    <xf numFmtId="0" fontId="4" fillId="7" borderId="11" xfId="0" applyFont="1" applyFill="1" applyBorder="1" applyAlignment="1">
      <alignment horizontal="center" vertical="center" wrapText="1"/>
    </xf>
    <xf numFmtId="0" fontId="4" fillId="7" borderId="24" xfId="0" applyFont="1" applyFill="1" applyBorder="1" applyAlignment="1">
      <alignment horizontal="center" vertical="center" wrapText="1"/>
    </xf>
    <xf numFmtId="0" fontId="6" fillId="0" borderId="23" xfId="0" applyFont="1" applyBorder="1" applyAlignment="1">
      <alignment horizontal="center"/>
    </xf>
    <xf numFmtId="0" fontId="9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44" fontId="0" fillId="0" borderId="0" xfId="1" applyFont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44" fontId="0" fillId="0" borderId="0" xfId="1" applyFont="1" applyProtection="1">
      <protection locked="0"/>
    </xf>
    <xf numFmtId="0" fontId="8" fillId="6" borderId="23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 wrapText="1"/>
    </xf>
    <xf numFmtId="0" fontId="8" fillId="6" borderId="17" xfId="0" applyFont="1" applyFill="1" applyBorder="1" applyAlignment="1">
      <alignment horizontal="center" vertical="center" wrapText="1"/>
    </xf>
    <xf numFmtId="0" fontId="5" fillId="6" borderId="17" xfId="0" applyFont="1" applyFill="1" applyBorder="1" applyAlignment="1">
      <alignment horizontal="right"/>
    </xf>
    <xf numFmtId="44" fontId="6" fillId="0" borderId="0" xfId="1" quotePrefix="1" applyFont="1" applyAlignment="1" applyProtection="1">
      <alignment horizontal="center"/>
    </xf>
    <xf numFmtId="44" fontId="6" fillId="0" borderId="23" xfId="1" applyFont="1" applyBorder="1" applyAlignment="1" applyProtection="1">
      <alignment horizontal="center"/>
    </xf>
    <xf numFmtId="44" fontId="6" fillId="0" borderId="5" xfId="1" applyFont="1" applyBorder="1" applyAlignment="1" applyProtection="1">
      <alignment horizontal="center"/>
    </xf>
    <xf numFmtId="44" fontId="7" fillId="0" borderId="17" xfId="1" applyFont="1" applyFill="1" applyBorder="1" applyProtection="1"/>
    <xf numFmtId="44" fontId="7" fillId="0" borderId="0" xfId="0" applyNumberFormat="1" applyFont="1"/>
    <xf numFmtId="0" fontId="5" fillId="0" borderId="16" xfId="0" applyFont="1" applyBorder="1" applyAlignment="1">
      <alignment horizontal="right"/>
    </xf>
    <xf numFmtId="44" fontId="7" fillId="0" borderId="16" xfId="1" applyFont="1" applyFill="1" applyBorder="1" applyProtection="1"/>
    <xf numFmtId="44" fontId="7" fillId="0" borderId="17" xfId="1" applyFont="1" applyBorder="1" applyAlignment="1" applyProtection="1">
      <alignment horizontal="center"/>
    </xf>
    <xf numFmtId="9" fontId="10" fillId="4" borderId="5" xfId="0" applyNumberFormat="1" applyFont="1" applyFill="1" applyBorder="1" applyAlignment="1">
      <alignment horizontal="center"/>
    </xf>
    <xf numFmtId="0" fontId="10" fillId="4" borderId="19" xfId="0" applyFont="1" applyFill="1" applyBorder="1"/>
    <xf numFmtId="0" fontId="0" fillId="4" borderId="23" xfId="0" applyFill="1" applyBorder="1"/>
    <xf numFmtId="44" fontId="7" fillId="0" borderId="17" xfId="1" applyFont="1" applyFill="1" applyBorder="1" applyAlignment="1" applyProtection="1">
      <alignment horizontal="center" vertical="center"/>
    </xf>
    <xf numFmtId="0" fontId="5" fillId="6" borderId="17" xfId="0" applyFont="1" applyFill="1" applyBorder="1" applyAlignment="1">
      <alignment horizontal="right" vertical="center"/>
    </xf>
    <xf numFmtId="164" fontId="6" fillId="0" borderId="0" xfId="0" applyNumberFormat="1" applyFont="1" applyAlignment="1">
      <alignment horizontal="center"/>
    </xf>
    <xf numFmtId="44" fontId="6" fillId="0" borderId="0" xfId="1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3" fillId="0" borderId="0" xfId="0" applyFont="1"/>
    <xf numFmtId="44" fontId="7" fillId="0" borderId="0" xfId="0" applyNumberFormat="1" applyFont="1" applyAlignment="1">
      <alignment horizontal="right"/>
    </xf>
    <xf numFmtId="44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44" fontId="0" fillId="0" borderId="0" xfId="1" applyFont="1" applyFill="1" applyBorder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44" fontId="7" fillId="0" borderId="0" xfId="1" applyFont="1" applyFill="1" applyBorder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/>
      <protection locked="0"/>
    </xf>
    <xf numFmtId="44" fontId="5" fillId="0" borderId="0" xfId="1" applyFont="1" applyFill="1" applyBorder="1" applyAlignment="1" applyProtection="1">
      <alignment horizontal="center"/>
      <protection locked="0"/>
    </xf>
    <xf numFmtId="44" fontId="5" fillId="0" borderId="0" xfId="1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center"/>
      <protection locked="0"/>
    </xf>
    <xf numFmtId="164" fontId="6" fillId="0" borderId="0" xfId="0" applyNumberFormat="1" applyFont="1" applyAlignment="1" applyProtection="1">
      <alignment horizontal="center"/>
      <protection locked="0"/>
    </xf>
    <xf numFmtId="44" fontId="6" fillId="0" borderId="0" xfId="1" applyFont="1" applyFill="1" applyBorder="1" applyAlignment="1" applyProtection="1">
      <alignment horizontal="center"/>
      <protection locked="0"/>
    </xf>
    <xf numFmtId="44" fontId="6" fillId="0" borderId="0" xfId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6" fillId="0" borderId="43" xfId="1" applyFont="1" applyFill="1" applyBorder="1" applyAlignment="1">
      <alignment horizontal="center"/>
    </xf>
    <xf numFmtId="44" fontId="7" fillId="0" borderId="40" xfId="1" applyFont="1" applyFill="1" applyBorder="1" applyAlignment="1">
      <alignment horizontal="center"/>
    </xf>
    <xf numFmtId="0" fontId="8" fillId="6" borderId="17" xfId="0" applyFont="1" applyFill="1" applyBorder="1" applyAlignment="1">
      <alignment horizontal="right" vertical="center"/>
    </xf>
    <xf numFmtId="0" fontId="3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44" fontId="0" fillId="3" borderId="27" xfId="1" applyFont="1" applyFill="1" applyBorder="1" applyAlignment="1">
      <alignment horizontal="center"/>
    </xf>
    <xf numFmtId="165" fontId="0" fillId="2" borderId="27" xfId="2" applyNumberFormat="1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28" xfId="2" applyNumberFormat="1" applyFont="1" applyFill="1" applyBorder="1" applyAlignment="1">
      <alignment horizontal="center"/>
    </xf>
    <xf numFmtId="165" fontId="0" fillId="2" borderId="5" xfId="2" applyNumberFormat="1" applyFont="1" applyFill="1" applyBorder="1" applyAlignment="1">
      <alignment horizontal="center"/>
    </xf>
    <xf numFmtId="165" fontId="0" fillId="2" borderId="26" xfId="2" applyNumberFormat="1" applyFont="1" applyFill="1" applyBorder="1" applyAlignment="1">
      <alignment horizontal="center"/>
    </xf>
    <xf numFmtId="165" fontId="0" fillId="2" borderId="23" xfId="2" applyNumberFormat="1" applyFont="1" applyFill="1" applyBorder="1" applyAlignment="1">
      <alignment horizontal="center"/>
    </xf>
    <xf numFmtId="44" fontId="2" fillId="0" borderId="0" xfId="0" applyNumberFormat="1" applyFont="1"/>
    <xf numFmtId="0" fontId="8" fillId="0" borderId="46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164" fontId="8" fillId="0" borderId="46" xfId="0" applyNumberFormat="1" applyFont="1" applyBorder="1" applyAlignment="1">
      <alignment horizontal="center" vertical="center"/>
    </xf>
    <xf numFmtId="44" fontId="8" fillId="0" borderId="47" xfId="1" applyFont="1" applyFill="1" applyBorder="1" applyAlignment="1">
      <alignment horizontal="center" vertical="center"/>
    </xf>
    <xf numFmtId="44" fontId="8" fillId="0" borderId="48" xfId="1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/>
    </xf>
    <xf numFmtId="164" fontId="6" fillId="0" borderId="44" xfId="0" applyNumberFormat="1" applyFont="1" applyBorder="1" applyAlignment="1">
      <alignment horizontal="center"/>
    </xf>
    <xf numFmtId="44" fontId="6" fillId="0" borderId="44" xfId="1" applyFont="1" applyFill="1" applyBorder="1" applyAlignment="1">
      <alignment horizontal="center"/>
    </xf>
    <xf numFmtId="44" fontId="7" fillId="0" borderId="45" xfId="1" applyFont="1" applyFill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164" fontId="6" fillId="0" borderId="43" xfId="0" applyNumberFormat="1" applyFont="1" applyBorder="1" applyAlignment="1">
      <alignment horizontal="center"/>
    </xf>
    <xf numFmtId="0" fontId="7" fillId="0" borderId="40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/>
    </xf>
    <xf numFmtId="164" fontId="6" fillId="0" borderId="40" xfId="0" applyNumberFormat="1" applyFont="1" applyBorder="1" applyAlignment="1">
      <alignment horizontal="center"/>
    </xf>
    <xf numFmtId="44" fontId="6" fillId="0" borderId="40" xfId="1" applyFont="1" applyFill="1" applyBorder="1" applyAlignment="1">
      <alignment horizontal="center"/>
    </xf>
    <xf numFmtId="0" fontId="7" fillId="0" borderId="44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/>
    </xf>
    <xf numFmtId="0" fontId="7" fillId="0" borderId="43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164" fontId="8" fillId="0" borderId="47" xfId="0" applyNumberFormat="1" applyFont="1" applyBorder="1" applyAlignment="1">
      <alignment horizontal="center"/>
    </xf>
    <xf numFmtId="44" fontId="8" fillId="0" borderId="47" xfId="1" applyFont="1" applyFill="1" applyBorder="1" applyAlignment="1">
      <alignment horizontal="center"/>
    </xf>
    <xf numFmtId="44" fontId="8" fillId="0" borderId="14" xfId="1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164" fontId="0" fillId="0" borderId="0" xfId="0" applyNumberFormat="1"/>
    <xf numFmtId="44" fontId="3" fillId="0" borderId="0" xfId="1" applyFont="1" applyBorder="1"/>
    <xf numFmtId="0" fontId="7" fillId="0" borderId="41" xfId="0" applyFont="1" applyBorder="1" applyAlignment="1">
      <alignment horizontal="center"/>
    </xf>
    <xf numFmtId="0" fontId="6" fillId="0" borderId="41" xfId="0" applyFont="1" applyBorder="1" applyAlignment="1">
      <alignment horizontal="center"/>
    </xf>
    <xf numFmtId="164" fontId="6" fillId="0" borderId="41" xfId="0" applyNumberFormat="1" applyFont="1" applyBorder="1" applyAlignment="1">
      <alignment horizontal="center"/>
    </xf>
    <xf numFmtId="44" fontId="6" fillId="0" borderId="41" xfId="1" applyFont="1" applyFill="1" applyBorder="1" applyAlignment="1">
      <alignment horizontal="center"/>
    </xf>
    <xf numFmtId="44" fontId="6" fillId="0" borderId="42" xfId="1" applyFont="1" applyFill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3" fillId="0" borderId="49" xfId="0" applyFont="1" applyBorder="1" applyAlignment="1">
      <alignment horizontal="center"/>
    </xf>
    <xf numFmtId="0" fontId="0" fillId="0" borderId="50" xfId="0" applyBorder="1" applyAlignment="1">
      <alignment horizontal="center"/>
    </xf>
    <xf numFmtId="44" fontId="7" fillId="0" borderId="50" xfId="1" applyFont="1" applyFill="1" applyBorder="1" applyAlignment="1">
      <alignment horizontal="right"/>
    </xf>
    <xf numFmtId="44" fontId="7" fillId="0" borderId="51" xfId="1" applyFont="1" applyFill="1" applyBorder="1" applyAlignment="1">
      <alignment horizontal="center"/>
    </xf>
    <xf numFmtId="44" fontId="7" fillId="0" borderId="17" xfId="1" applyFont="1" applyBorder="1"/>
    <xf numFmtId="164" fontId="0" fillId="0" borderId="0" xfId="0" applyNumberFormat="1" applyAlignment="1">
      <alignment horizontal="center"/>
    </xf>
    <xf numFmtId="0" fontId="9" fillId="5" borderId="0" xfId="0" applyFont="1" applyFill="1" applyAlignment="1" applyProtection="1">
      <alignment horizontal="center"/>
      <protection locked="0"/>
    </xf>
    <xf numFmtId="44" fontId="7" fillId="0" borderId="0" xfId="1" applyFont="1" applyFill="1" applyBorder="1" applyAlignment="1" applyProtection="1">
      <alignment horizontal="right"/>
      <protection locked="0"/>
    </xf>
    <xf numFmtId="0" fontId="11" fillId="3" borderId="38" xfId="0" applyFont="1" applyFill="1" applyBorder="1" applyAlignment="1" applyProtection="1">
      <alignment horizontal="left" vertical="center"/>
      <protection locked="0"/>
    </xf>
    <xf numFmtId="0" fontId="11" fillId="3" borderId="39" xfId="0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Alignment="1">
      <alignment horizontal="center"/>
    </xf>
    <xf numFmtId="0" fontId="6" fillId="3" borderId="5" xfId="0" applyFont="1" applyFill="1" applyBorder="1" applyAlignment="1" applyProtection="1">
      <alignment horizontal="left" vertical="center"/>
      <protection locked="0"/>
    </xf>
    <xf numFmtId="0" fontId="6" fillId="3" borderId="36" xfId="0" applyFont="1" applyFill="1" applyBorder="1" applyAlignment="1" applyProtection="1">
      <alignment horizontal="left" vertical="center"/>
      <protection locked="0"/>
    </xf>
    <xf numFmtId="14" fontId="6" fillId="3" borderId="33" xfId="0" applyNumberFormat="1" applyFont="1" applyFill="1" applyBorder="1" applyAlignment="1">
      <alignment horizontal="left"/>
    </xf>
    <xf numFmtId="14" fontId="6" fillId="3" borderId="34" xfId="0" applyNumberFormat="1" applyFont="1" applyFill="1" applyBorder="1" applyAlignment="1">
      <alignment horizontal="left"/>
    </xf>
    <xf numFmtId="0" fontId="3" fillId="7" borderId="12" xfId="0" applyFont="1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vertical="center" wrapText="1"/>
    </xf>
    <xf numFmtId="0" fontId="3" fillId="7" borderId="14" xfId="0" applyFont="1" applyFill="1" applyBorder="1" applyAlignment="1">
      <alignment horizontal="center" vertical="center" wrapText="1"/>
    </xf>
    <xf numFmtId="0" fontId="3" fillId="7" borderId="30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0" fillId="3" borderId="15" xfId="0" applyFill="1" applyBorder="1" applyAlignment="1">
      <alignment horizontal="right"/>
    </xf>
    <xf numFmtId="0" fontId="0" fillId="3" borderId="16" xfId="0" applyFill="1" applyBorder="1" applyAlignment="1">
      <alignment horizontal="right"/>
    </xf>
    <xf numFmtId="0" fontId="3" fillId="3" borderId="9" xfId="0" applyFont="1" applyFill="1" applyBorder="1" applyAlignment="1">
      <alignment horizontal="right"/>
    </xf>
    <xf numFmtId="0" fontId="3" fillId="3" borderId="5" xfId="0" applyFont="1" applyFill="1" applyBorder="1" applyAlignment="1">
      <alignment horizontal="right"/>
    </xf>
    <xf numFmtId="0" fontId="3" fillId="3" borderId="10" xfId="0" applyFont="1" applyFill="1" applyBorder="1" applyAlignment="1">
      <alignment horizontal="right"/>
    </xf>
    <xf numFmtId="0" fontId="3" fillId="3" borderId="11" xfId="0" applyFont="1" applyFill="1" applyBorder="1" applyAlignment="1">
      <alignment horizontal="right"/>
    </xf>
    <xf numFmtId="0" fontId="3" fillId="7" borderId="14" xfId="0" applyFont="1" applyFill="1" applyBorder="1" applyAlignment="1">
      <alignment horizontal="center" vertical="center"/>
    </xf>
    <xf applyFill="1" numFmtId="0" fontId="7" fillId="8" borderId="18" xfId="0" applyFont="1" applyBorder="1" applyAlignment="1">
      <alignment horizontal="center" vertical="center"/>
    </xf>
    <xf applyFill="1" numFmtId="0" fontId="6" fillId="8" borderId="26" xfId="0" applyFont="1" applyBorder="1" applyAlignment="1">
      <alignment horizontal="center"/>
    </xf>
    <xf applyFill="1" numFmtId="164" fontId="6" fillId="8" borderId="44" xfId="0" applyNumberFormat="1" applyFont="1" applyBorder="1" applyAlignment="1">
      <alignment horizontal="center"/>
    </xf>
    <xf numFmtId="44" fontId="6" fillId="8" borderId="44" xfId="1" applyFont="1" applyFill="1" applyBorder="1" applyAlignment="1">
      <alignment horizontal="center"/>
    </xf>
    <xf numFmtId="44" fontId="7" fillId="8" borderId="45" xfId="1" applyFont="1" applyFill="1" applyBorder="1" applyAlignment="1">
      <alignment horizontal="center"/>
    </xf>
    <xf applyFill="1" numFmtId="0" fontId="7" fillId="8" borderId="17" xfId="0" applyFont="1" applyBorder="1" applyAlignment="1">
      <alignment horizontal="center" vertical="center"/>
    </xf>
    <xf applyFill="1" numFmtId="0" fontId="6" fillId="8" borderId="23" xfId="0" applyFont="1" applyBorder="1" applyAlignment="1">
      <alignment horizontal="center"/>
    </xf>
    <xf applyFill="1" numFmtId="164" fontId="6" fillId="8" borderId="43" xfId="0" applyNumberFormat="1" applyFont="1" applyBorder="1" applyAlignment="1">
      <alignment horizontal="center"/>
    </xf>
    <xf numFmtId="44" fontId="6" fillId="8" borderId="43" xfId="1" applyFont="1" applyFill="1" applyBorder="1" applyAlignment="1">
      <alignment horizontal="center"/>
    </xf>
    <xf numFmtId="44" fontId="7" fillId="8" borderId="40" xfId="1" applyFont="1" applyFill="1" applyBorder="1" applyAlignment="1">
      <alignment horizontal="center"/>
    </xf>
    <xf applyFill="1" numFmtId="0" fontId="7" fillId="8" borderId="44" xfId="0" applyFont="1" applyBorder="1" applyAlignment="1">
      <alignment horizontal="center" vertical="center"/>
    </xf>
    <xf applyFill="1" numFmtId="0" fontId="6" fillId="8" borderId="44" xfId="0" applyFont="1" applyBorder="1" applyAlignment="1">
      <alignment horizontal="center"/>
    </xf>
    <xf applyFill="1" numFmtId="0" fontId="7" fillId="8" borderId="43" xfId="0" applyFont="1" applyBorder="1" applyAlignment="1">
      <alignment horizontal="center" vertical="center"/>
    </xf>
    <xf applyFill="1" numFmtId="0" fontId="6" fillId="8" borderId="43" xfId="0" applyFont="1" applyBorder="1" applyAlignment="1">
      <alignment horizontal="center"/>
    </xf>
    <xf applyFill="1" numFmtId="0" fontId="7" fillId="8" borderId="18" xfId="0" applyFont="1" applyBorder="1" applyAlignment="1">
      <alignment horizontal="center"/>
    </xf>
    <xf applyFill="1" numFmtId="0" fontId="7" fillId="8" borderId="41" xfId="0" applyFont="1" applyBorder="1" applyAlignment="1">
      <alignment horizontal="center"/>
    </xf>
    <xf applyFill="1" numFmtId="0" fontId="6" fillId="8" borderId="41" xfId="0" applyFont="1" applyBorder="1" applyAlignment="1">
      <alignment horizontal="center"/>
    </xf>
    <xf applyFill="1" numFmtId="164" fontId="6" fillId="8" borderId="41" xfId="0" applyNumberFormat="1" applyFont="1" applyBorder="1" applyAlignment="1">
      <alignment horizontal="center"/>
    </xf>
    <xf numFmtId="44" fontId="6" fillId="8" borderId="41" xfId="1" applyFont="1" applyFill="1" applyBorder="1" applyAlignment="1">
      <alignment horizontal="center"/>
    </xf>
    <xf numFmtId="44" fontId="6" fillId="8" borderId="42" xfId="1" applyFont="1" applyFill="1" applyBorder="1" applyAlignment="1">
      <alignment horizontal="center"/>
    </xf>
    <xf applyFill="1" numFmtId="0" fontId="7" fillId="8" borderId="43" xfId="0" applyFont="1" applyBorder="1" applyAlignment="1">
      <alignment horizontal="center"/>
    </xf>
    <xf numFmtId="44" fontId="6" fillId="8" borderId="40" xfId="1" applyFont="1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rgb="FFCCFFFF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3998B5"/>
      <color rgb="FFA5AAA8"/>
      <color rgb="FF5EC8E5"/>
      <color rgb="FF1F67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D5E72C-327C-4C37-A17B-302BBA91EA9E}" name="Table1" displayName="Table1" ref="A5:E55" totalsRowShown="0" headerRowDxfId="35" dataDxfId="33" headerRowBorderDxfId="34" tableBorderDxfId="32" headerRowCellStyle="Currency">
  <autoFilter ref="A5:E55" xr:uid="{1DD5E72C-327C-4C37-A17B-302BBA91EA9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E649E25-A5F4-4543-9070-D8F1B109EF09}" name="ITEM" dataDxfId="31"/>
    <tableColumn id="2" xr3:uid="{48B31380-7CC5-445F-BA53-CC6EA6B5173E}" name="SCOPE OF WORK" dataDxfId="30"/>
    <tableColumn id="3" xr3:uid="{1B1BC487-7292-4433-9C3F-2536C6FB8EA5}" name="HOURS" dataDxfId="29"/>
    <tableColumn id="4" xr3:uid="{366576CB-22EB-4693-931D-4425E04C988C}" name="HOURLY RATE" dataDxfId="28"/>
    <tableColumn id="5" xr3:uid="{6C30179B-C80F-4B9C-99EC-18E71FE5A238}" name="SUBTOTAL" dataDxfId="27" dataCellStyle="Currency">
      <calculatedColumnFormula>C6*D6</calculatedColumnFormula>
    </tableColumn>
  </tableColumns>
  <tableStyleInfo name="TableStyleLight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366E64-B111-49E3-B4BA-DFEC8F24174D}" name="Table2" displayName="Table2" ref="A5:G35" totalsRowShown="0" headerRowDxfId="26" headerRowBorderDxfId="25" tableBorderDxfId="24" headerRowCellStyle="Currency">
  <autoFilter ref="A5:G35" xr:uid="{FF366E64-B111-49E3-B4BA-DFEC8F24174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6BF817A7-8D2C-4A5A-877C-3FCC17F381F6}" name="ITEM " dataDxfId="23">
      <calculatedColumnFormula>ROW()-5</calculatedColumnFormula>
    </tableColumn>
    <tableColumn id="2" xr3:uid="{BF078028-5556-47D0-A154-264EE80F19C7}" name="DESCRIPTION" dataDxfId="22"/>
    <tableColumn id="3" xr3:uid="{FA7F1839-9BA6-4A39-86B4-2F495B58D03B}" name="PART NUMBER" dataDxfId="21"/>
    <tableColumn id="4" xr3:uid="{2BCC9A9E-5DAD-4DEF-9B59-B1BC430F655F}" name="VENDOR" dataDxfId="20"/>
    <tableColumn id="5" xr3:uid="{DD2A75F8-60D9-4AF6-8151-604BEB7B0F38}" name="QTY" dataDxfId="19"/>
    <tableColumn id="6" xr3:uid="{B1BE75AC-7740-49A0-9F6C-8211B27AB3F2}" name="UNIT COST" dataDxfId="18" dataCellStyle="Currency"/>
    <tableColumn id="7" xr3:uid="{44168F3B-48CE-453D-88A2-1097DF75FEC5}" name="TOTAL COST" dataDxfId="17" dataCellStyle="Currency">
      <calculatedColumnFormula>E6*F6</calculatedColumnFormula>
    </tableColumn>
  </tableColumns>
  <tableStyleInfo name="TableStyleLight20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B93181-B95C-49F1-880F-CFF7F5DE2103}" name="Table3" displayName="Table3" ref="A5:E35" totalsRowShown="0" headerRowBorderDxfId="16" tableBorderDxfId="15">
  <autoFilter ref="A5:E35" xr:uid="{7FB93181-B95C-49F1-880F-CFF7F5DE2103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5468C0F-B0A7-469D-A831-1EE9F1BAFE61}" name="ITEM" dataDxfId="14"/>
    <tableColumn id="2" xr3:uid="{F9068CDF-BDCA-4B9C-994D-D6FB07C8DC86}" name="SCOPE OF WORK" dataDxfId="13"/>
    <tableColumn id="3" xr3:uid="{FCB690DA-3ED1-4ABC-B16F-0FBDCB512949}" name="HOURS" dataDxfId="12"/>
    <tableColumn id="4" xr3:uid="{73540AC6-7557-4E10-83CF-63E445B65AFF}" name="HOURLY RATE" dataDxfId="11" dataCellStyle="Currency"/>
    <tableColumn id="5" xr3:uid="{E9814EB2-30C9-4A3F-A132-A6C1FFFE189A}" name="SUBTOTAL" dataDxfId="10" dataCellStyle="Currency">
      <calculatedColumnFormula>C6*D6</calculatedColumnFormula>
    </tableColumn>
  </tableColumns>
  <tableStyleInfo name="TableStyleLight20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169D356-B7BA-4883-B0A2-1227CA865C2B}" name="Table4" displayName="Table4" ref="A5:G35" totalsRowShown="0" headerRowDxfId="9" headerRowBorderDxfId="8" tableBorderDxfId="7" headerRowCellStyle="Currency">
  <autoFilter ref="A5:G35" xr:uid="{2169D356-B7BA-4883-B0A2-1227CA865C2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408C28B-E09C-4FF8-8571-31CC8B2F4375}" name="ITEM" dataDxfId="6"/>
    <tableColumn id="2" xr3:uid="{B7D1137A-78AD-44B4-9CAF-C15454BF9E12}" name="DESCRIPTION" dataDxfId="5"/>
    <tableColumn id="3" xr3:uid="{A4589EA5-AE51-4D6A-9A40-219244DD2E51}" name="PART NUMBER" dataDxfId="4"/>
    <tableColumn id="4" xr3:uid="{317E1719-042D-4073-9F0B-067F601E06A4}" name="VENDOR" dataDxfId="3"/>
    <tableColumn id="5" xr3:uid="{4CD0B341-ADEF-4491-AAA5-6BAE7831FAC3}" name="QTY" dataDxfId="2"/>
    <tableColumn id="6" xr3:uid="{4FF08EE3-80E0-496B-9A2B-4F65C637CB61}" name="UNIT COST" dataDxfId="1" dataCellStyle="Currency"/>
    <tableColumn id="7" xr3:uid="{73C5DED0-A28F-4B85-B1A9-D087D9DB4F8A}" name="TOTAL COST" dataDxfId="0" dataCellStyle="Currency">
      <calculatedColumnFormula>E6*F6</calculatedColumnFormula>
    </tableColumn>
  </tableColumns>
  <tableStyleInfo name="TableStyleLight20" showFirstColumn="0" showLastColumn="0" showRowStripes="0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2F635-A647-42CE-A2F3-FF6C32B397A1}">
  <sheetPr codeName="Sheet1"/>
  <dimension ref="A1:H124"/>
  <sheetViews>
    <sheetView workbookViewId="0">
      <pane ySplit="5" topLeftCell="A39" activePane="bottomLeft" state="frozen"/>
      <selection pane="bottomLeft" activeCell="G56" sqref="G56"/>
    </sheetView>
  </sheetViews>
  <sheetFormatPr defaultRowHeight="14.4" x14ac:dyDescent="0.3"/>
  <cols>
    <col min="1" max="1" width="8.44140625" style="94" customWidth="1"/>
    <col min="2" max="2" width="75.77734375" style="44" customWidth="1"/>
    <col min="3" max="3" width="10.88671875" style="48" customWidth="1"/>
    <col min="4" max="4" width="20.5546875" style="49" customWidth="1"/>
    <col min="5" max="5" width="16.5546875" style="49" customWidth="1"/>
    <col min="6" max="6" width="17.88671875" style="44" customWidth="1"/>
    <col min="7" max="16384" width="8.88671875" style="44"/>
  </cols>
  <sheetData>
    <row r="1" spans="1:8" ht="14.4" customHeight="1" x14ac:dyDescent="1.05">
      <c r="A1" s="144" t="s">
        <v>58</v>
      </c>
      <c r="B1" s="144"/>
      <c r="C1" s="144"/>
      <c r="D1" s="144"/>
      <c r="E1" s="144"/>
      <c r="F1" s="43"/>
      <c r="G1" s="43"/>
      <c r="H1" s="43"/>
    </row>
    <row r="2" spans="1:8" ht="14.4" customHeight="1" x14ac:dyDescent="1.05">
      <c r="A2" s="144"/>
      <c r="B2" s="144"/>
      <c r="C2" s="144"/>
      <c r="D2" s="144"/>
      <c r="E2" s="144"/>
      <c r="F2" s="43"/>
      <c r="G2" s="43"/>
      <c r="H2" s="43"/>
    </row>
    <row r="3" spans="1:8" ht="14.4" customHeight="1" x14ac:dyDescent="1.05">
      <c r="A3" s="144"/>
      <c r="B3" s="144"/>
      <c r="C3" s="144"/>
      <c r="D3" s="144"/>
      <c r="E3" s="144"/>
      <c r="F3" s="43"/>
      <c r="G3" s="43"/>
      <c r="H3" s="43"/>
    </row>
    <row r="4" spans="1:8" x14ac:dyDescent="0.3">
      <c r="B4" s="45"/>
      <c r="C4" s="46"/>
      <c r="D4" s="47"/>
      <c r="E4" s="47"/>
      <c r="F4" s="45"/>
      <c r="G4" s="45"/>
      <c r="H4" s="45"/>
    </row>
    <row r="5" spans="1:8" ht="18" thickBot="1" x14ac:dyDescent="0.35">
      <c r="A5" s="104" t="s">
        <v>31</v>
      </c>
      <c r="B5" s="105" t="s">
        <v>32</v>
      </c>
      <c r="C5" s="106" t="s">
        <v>33</v>
      </c>
      <c r="D5" s="107" t="s">
        <v>34</v>
      </c>
      <c r="E5" s="108" t="s">
        <v>35</v>
      </c>
      <c r="G5" s="45"/>
      <c r="H5" s="45"/>
    </row>
    <row r="6" spans="1:8" ht="15.6" x14ac:dyDescent="0.3">
      <c r="A6" s="171">
        <v>1</v>
      </c>
      <c r="B6" s="172" t="s">
        <v>27</v>
      </c>
      <c r="C6" s="173"/>
      <c r="D6" s="174"/>
      <c r="E6" s="175">
        <f t="shared" ref="E6:E35" si="0">C6*D6</f>
        <v>0</v>
      </c>
      <c r="G6" s="45"/>
      <c r="H6" s="45"/>
    </row>
    <row r="7" spans="1:8" ht="15.6" x14ac:dyDescent="0.3">
      <c r="A7" s="114">
        <v>2</v>
      </c>
      <c r="B7" s="42" t="s">
        <v>25</v>
      </c>
      <c r="C7" s="115"/>
      <c r="D7" s="88"/>
      <c r="E7" s="89">
        <f t="shared" si="0"/>
        <v>0</v>
      </c>
      <c r="G7" s="45"/>
      <c r="H7" s="45"/>
    </row>
    <row r="8" spans="1:8" ht="15.6" x14ac:dyDescent="0.3">
      <c r="A8" s="176">
        <v>3</v>
      </c>
      <c r="B8" s="177" t="s">
        <v>26</v>
      </c>
      <c r="C8" s="178"/>
      <c r="D8" s="179"/>
      <c r="E8" s="180">
        <f t="shared" si="0"/>
        <v>0</v>
      </c>
      <c r="G8" s="45"/>
      <c r="H8" s="45"/>
    </row>
    <row r="9" spans="1:8" ht="15.6" x14ac:dyDescent="0.3">
      <c r="A9" s="114">
        <v>4</v>
      </c>
      <c r="B9" s="42"/>
      <c r="C9" s="115"/>
      <c r="D9" s="88"/>
      <c r="E9" s="89">
        <f t="shared" si="0"/>
        <v>0</v>
      </c>
      <c r="G9" s="45"/>
      <c r="H9" s="45"/>
    </row>
    <row r="10" spans="1:8" ht="15.6" x14ac:dyDescent="0.3">
      <c r="A10" s="176">
        <v>5</v>
      </c>
      <c r="B10" s="177"/>
      <c r="C10" s="178"/>
      <c r="D10" s="179"/>
      <c r="E10" s="180">
        <f t="shared" si="0"/>
        <v>0</v>
      </c>
      <c r="G10" s="45"/>
      <c r="H10" s="45"/>
    </row>
    <row r="11" spans="1:8" ht="15.6" x14ac:dyDescent="0.3">
      <c r="A11" s="114">
        <v>6</v>
      </c>
      <c r="B11" s="42"/>
      <c r="C11" s="115"/>
      <c r="D11" s="88"/>
      <c r="E11" s="89">
        <f t="shared" si="0"/>
        <v>0</v>
      </c>
      <c r="G11" s="45"/>
      <c r="H11" s="45"/>
    </row>
    <row r="12" spans="1:8" ht="15.6" x14ac:dyDescent="0.3">
      <c r="A12" s="176">
        <v>7</v>
      </c>
      <c r="B12" s="177"/>
      <c r="C12" s="178"/>
      <c r="D12" s="179"/>
      <c r="E12" s="180">
        <f t="shared" si="0"/>
        <v>0</v>
      </c>
      <c r="G12" s="45"/>
      <c r="H12" s="45"/>
    </row>
    <row r="13" spans="1:8" ht="15.6" x14ac:dyDescent="0.3">
      <c r="A13" s="114">
        <v>8</v>
      </c>
      <c r="B13" s="42"/>
      <c r="C13" s="115"/>
      <c r="D13" s="88"/>
      <c r="E13" s="89">
        <f t="shared" si="0"/>
        <v>0</v>
      </c>
      <c r="G13" s="45"/>
      <c r="H13" s="45"/>
    </row>
    <row r="14" spans="1:8" ht="15.6" x14ac:dyDescent="0.3">
      <c r="A14" s="176">
        <v>9</v>
      </c>
      <c r="B14" s="177"/>
      <c r="C14" s="178"/>
      <c r="D14" s="179"/>
      <c r="E14" s="180">
        <f t="shared" si="0"/>
        <v>0</v>
      </c>
      <c r="G14" s="45"/>
      <c r="H14" s="45"/>
    </row>
    <row r="15" spans="1:8" ht="15.6" x14ac:dyDescent="0.3">
      <c r="A15" s="114">
        <v>10</v>
      </c>
      <c r="B15" s="42"/>
      <c r="C15" s="115"/>
      <c r="D15" s="88"/>
      <c r="E15" s="89">
        <f t="shared" si="0"/>
        <v>0</v>
      </c>
      <c r="G15" s="45"/>
      <c r="H15" s="45"/>
    </row>
    <row r="16" spans="1:8" ht="15.6" x14ac:dyDescent="0.3">
      <c r="A16" s="176">
        <v>11</v>
      </c>
      <c r="B16" s="177"/>
      <c r="C16" s="178"/>
      <c r="D16" s="179"/>
      <c r="E16" s="180">
        <f t="shared" si="0"/>
        <v>0</v>
      </c>
      <c r="G16" s="45"/>
      <c r="H16" s="45"/>
    </row>
    <row r="17" spans="1:8" ht="15.6" x14ac:dyDescent="0.3">
      <c r="A17" s="114">
        <v>12</v>
      </c>
      <c r="B17" s="42"/>
      <c r="C17" s="115"/>
      <c r="D17" s="88"/>
      <c r="E17" s="89">
        <f t="shared" si="0"/>
        <v>0</v>
      </c>
      <c r="G17" s="45"/>
      <c r="H17" s="45"/>
    </row>
    <row r="18" spans="1:8" ht="15.6" x14ac:dyDescent="0.3">
      <c r="A18" s="176">
        <v>13</v>
      </c>
      <c r="B18" s="177"/>
      <c r="C18" s="178"/>
      <c r="D18" s="179"/>
      <c r="E18" s="180">
        <f t="shared" si="0"/>
        <v>0</v>
      </c>
      <c r="G18" s="45"/>
      <c r="H18" s="45"/>
    </row>
    <row r="19" spans="1:8" ht="15.6" x14ac:dyDescent="0.3">
      <c r="A19" s="114">
        <v>14</v>
      </c>
      <c r="B19" s="42"/>
      <c r="C19" s="115"/>
      <c r="D19" s="88"/>
      <c r="E19" s="89">
        <f t="shared" si="0"/>
        <v>0</v>
      </c>
      <c r="G19" s="45"/>
      <c r="H19" s="45"/>
    </row>
    <row r="20" spans="1:8" ht="15.6" x14ac:dyDescent="0.3">
      <c r="A20" s="176">
        <v>15</v>
      </c>
      <c r="B20" s="177"/>
      <c r="C20" s="178"/>
      <c r="D20" s="179"/>
      <c r="E20" s="180">
        <f t="shared" si="0"/>
        <v>0</v>
      </c>
      <c r="G20" s="45"/>
      <c r="H20" s="45"/>
    </row>
    <row r="21" spans="1:8" ht="15.6" x14ac:dyDescent="0.3">
      <c r="A21" s="114">
        <v>16</v>
      </c>
      <c r="B21" s="42"/>
      <c r="C21" s="115"/>
      <c r="D21" s="88"/>
      <c r="E21" s="89">
        <f t="shared" si="0"/>
        <v>0</v>
      </c>
      <c r="G21" s="45"/>
      <c r="H21" s="45"/>
    </row>
    <row r="22" spans="1:8" ht="15.6" x14ac:dyDescent="0.3">
      <c r="A22" s="176">
        <v>17</v>
      </c>
      <c r="B22" s="177"/>
      <c r="C22" s="178"/>
      <c r="D22" s="179"/>
      <c r="E22" s="180">
        <f t="shared" si="0"/>
        <v>0</v>
      </c>
      <c r="G22" s="45"/>
      <c r="H22" s="45"/>
    </row>
    <row r="23" spans="1:8" ht="15.6" x14ac:dyDescent="0.3">
      <c r="A23" s="114">
        <v>18</v>
      </c>
      <c r="B23" s="42"/>
      <c r="C23" s="115"/>
      <c r="D23" s="88"/>
      <c r="E23" s="89">
        <f t="shared" si="0"/>
        <v>0</v>
      </c>
      <c r="G23" s="45"/>
      <c r="H23" s="45"/>
    </row>
    <row r="24" spans="1:8" ht="15.6" x14ac:dyDescent="0.3">
      <c r="A24" s="176">
        <v>19</v>
      </c>
      <c r="B24" s="177"/>
      <c r="C24" s="178"/>
      <c r="D24" s="179"/>
      <c r="E24" s="180">
        <f t="shared" si="0"/>
        <v>0</v>
      </c>
      <c r="G24" s="45"/>
      <c r="H24" s="45"/>
    </row>
    <row r="25" spans="1:8" ht="15.6" x14ac:dyDescent="0.3">
      <c r="A25" s="114">
        <v>20</v>
      </c>
      <c r="B25" s="42"/>
      <c r="C25" s="115"/>
      <c r="D25" s="88"/>
      <c r="E25" s="89">
        <f t="shared" si="0"/>
        <v>0</v>
      </c>
      <c r="G25" s="45"/>
      <c r="H25" s="45"/>
    </row>
    <row r="26" spans="1:8" ht="15.6" x14ac:dyDescent="0.3">
      <c r="A26" s="176">
        <v>21</v>
      </c>
      <c r="B26" s="177"/>
      <c r="C26" s="178"/>
      <c r="D26" s="179"/>
      <c r="E26" s="180">
        <f t="shared" si="0"/>
        <v>0</v>
      </c>
      <c r="G26" s="45"/>
      <c r="H26" s="45"/>
    </row>
    <row r="27" spans="1:8" ht="15.6" x14ac:dyDescent="0.3">
      <c r="A27" s="114">
        <v>22</v>
      </c>
      <c r="B27" s="42"/>
      <c r="C27" s="115"/>
      <c r="D27" s="88"/>
      <c r="E27" s="89">
        <f t="shared" si="0"/>
        <v>0</v>
      </c>
      <c r="G27" s="45"/>
      <c r="H27" s="45"/>
    </row>
    <row r="28" spans="1:8" ht="15.6" x14ac:dyDescent="0.3">
      <c r="A28" s="176">
        <v>23</v>
      </c>
      <c r="B28" s="177"/>
      <c r="C28" s="178"/>
      <c r="D28" s="179"/>
      <c r="E28" s="180">
        <f t="shared" si="0"/>
        <v>0</v>
      </c>
      <c r="G28" s="45"/>
      <c r="H28" s="45"/>
    </row>
    <row r="29" spans="1:8" ht="15.6" x14ac:dyDescent="0.3">
      <c r="A29" s="114">
        <v>24</v>
      </c>
      <c r="B29" s="42"/>
      <c r="C29" s="115"/>
      <c r="D29" s="88"/>
      <c r="E29" s="89">
        <f t="shared" si="0"/>
        <v>0</v>
      </c>
      <c r="G29" s="45"/>
      <c r="H29" s="45"/>
    </row>
    <row r="30" spans="1:8" ht="15.6" x14ac:dyDescent="0.3">
      <c r="A30" s="176">
        <v>25</v>
      </c>
      <c r="B30" s="177"/>
      <c r="C30" s="178"/>
      <c r="D30" s="179"/>
      <c r="E30" s="180">
        <f t="shared" si="0"/>
        <v>0</v>
      </c>
      <c r="G30" s="45"/>
      <c r="H30" s="45"/>
    </row>
    <row r="31" spans="1:8" ht="15.6" x14ac:dyDescent="0.3">
      <c r="A31" s="114">
        <v>26</v>
      </c>
      <c r="B31" s="42"/>
      <c r="C31" s="115"/>
      <c r="D31" s="88"/>
      <c r="E31" s="89">
        <f t="shared" si="0"/>
        <v>0</v>
      </c>
      <c r="G31" s="45"/>
      <c r="H31" s="45"/>
    </row>
    <row r="32" spans="1:8" ht="15.6" x14ac:dyDescent="0.3">
      <c r="A32" s="176">
        <v>27</v>
      </c>
      <c r="B32" s="177"/>
      <c r="C32" s="178"/>
      <c r="D32" s="179"/>
      <c r="E32" s="180">
        <f t="shared" si="0"/>
        <v>0</v>
      </c>
      <c r="G32" s="45"/>
      <c r="H32" s="45"/>
    </row>
    <row r="33" spans="1:8" ht="15.6" x14ac:dyDescent="0.3">
      <c r="A33" s="114">
        <v>28</v>
      </c>
      <c r="B33" s="42"/>
      <c r="C33" s="115"/>
      <c r="D33" s="88"/>
      <c r="E33" s="89">
        <f t="shared" si="0"/>
        <v>0</v>
      </c>
      <c r="G33" s="45"/>
      <c r="H33" s="45"/>
    </row>
    <row r="34" spans="1:8" ht="15.6" x14ac:dyDescent="0.3">
      <c r="A34" s="176">
        <v>29</v>
      </c>
      <c r="B34" s="177"/>
      <c r="C34" s="178"/>
      <c r="D34" s="179"/>
      <c r="E34" s="180">
        <f t="shared" si="0"/>
        <v>0</v>
      </c>
      <c r="G34" s="45"/>
      <c r="H34" s="45"/>
    </row>
    <row r="35" spans="1:8" ht="15" customHeight="1" x14ac:dyDescent="0.3">
      <c r="A35" s="116">
        <v>30</v>
      </c>
      <c r="B35" s="117"/>
      <c r="C35" s="118"/>
      <c r="D35" s="119"/>
      <c r="E35" s="89">
        <f t="shared" si="0"/>
        <v>0</v>
      </c>
      <c r="G35" s="45"/>
      <c r="H35" s="45"/>
    </row>
    <row r="36" spans="1:8" ht="15.6" x14ac:dyDescent="0.3">
      <c r="A36" s="176">
        <v>31</v>
      </c>
      <c r="B36" s="177"/>
      <c r="C36" s="178"/>
      <c r="D36" s="179"/>
      <c r="E36" s="180">
        <f t="shared" ref="E36:E50" si="1">C36*D36</f>
        <v>0</v>
      </c>
      <c r="F36" s="45"/>
      <c r="G36" s="45"/>
      <c r="H36" s="45"/>
    </row>
    <row r="37" spans="1:8" ht="15.6" x14ac:dyDescent="0.3">
      <c r="A37" s="116">
        <v>32</v>
      </c>
      <c r="B37" s="117"/>
      <c r="C37" s="118"/>
      <c r="D37" s="119"/>
      <c r="E37" s="89">
        <f t="shared" si="1"/>
        <v>0</v>
      </c>
      <c r="F37" s="45"/>
      <c r="G37" s="45"/>
      <c r="H37" s="45"/>
    </row>
    <row r="38" spans="1:8" ht="15.6" x14ac:dyDescent="0.3">
      <c r="A38" s="176">
        <v>33</v>
      </c>
      <c r="B38" s="177"/>
      <c r="C38" s="178"/>
      <c r="D38" s="179"/>
      <c r="E38" s="180">
        <f t="shared" si="1"/>
        <v>0</v>
      </c>
      <c r="F38" s="45"/>
      <c r="G38" s="45"/>
      <c r="H38" s="45"/>
    </row>
    <row r="39" spans="1:8" ht="14.4" customHeight="1" x14ac:dyDescent="0.3">
      <c r="A39" s="116">
        <v>34</v>
      </c>
      <c r="B39" s="117"/>
      <c r="C39" s="118"/>
      <c r="D39" s="119"/>
      <c r="E39" s="89">
        <f t="shared" si="1"/>
        <v>0</v>
      </c>
      <c r="F39" s="45"/>
      <c r="G39" s="45"/>
      <c r="H39" s="45"/>
    </row>
    <row r="40" spans="1:8" ht="14.4" customHeight="1" x14ac:dyDescent="0.3">
      <c r="A40" s="176">
        <v>35</v>
      </c>
      <c r="B40" s="177"/>
      <c r="C40" s="178"/>
      <c r="D40" s="179"/>
      <c r="E40" s="180">
        <f t="shared" si="1"/>
        <v>0</v>
      </c>
      <c r="F40" s="45"/>
      <c r="G40" s="45"/>
      <c r="H40" s="45"/>
    </row>
    <row r="41" spans="1:8" ht="14.4" customHeight="1" x14ac:dyDescent="0.3">
      <c r="A41" s="116">
        <v>36</v>
      </c>
      <c r="B41" s="117"/>
      <c r="C41" s="118"/>
      <c r="D41" s="119"/>
      <c r="E41" s="89">
        <f t="shared" si="1"/>
        <v>0</v>
      </c>
      <c r="F41" s="45"/>
      <c r="G41" s="45"/>
      <c r="H41" s="45"/>
    </row>
    <row r="42" spans="1:8" ht="14.4" customHeight="1" x14ac:dyDescent="0.3">
      <c r="A42" s="176">
        <v>37</v>
      </c>
      <c r="B42" s="177"/>
      <c r="C42" s="178"/>
      <c r="D42" s="179"/>
      <c r="E42" s="180">
        <f t="shared" si="1"/>
        <v>0</v>
      </c>
      <c r="F42" s="45"/>
      <c r="G42" s="45"/>
      <c r="H42" s="45"/>
    </row>
    <row r="43" spans="1:8" ht="15.6" x14ac:dyDescent="0.3">
      <c r="A43" s="116">
        <v>38</v>
      </c>
      <c r="B43" s="117"/>
      <c r="C43" s="118"/>
      <c r="D43" s="119"/>
      <c r="E43" s="89">
        <f t="shared" si="1"/>
        <v>0</v>
      </c>
      <c r="F43" s="45"/>
      <c r="G43" s="45"/>
      <c r="H43" s="45"/>
    </row>
    <row r="44" spans="1:8" ht="15.6" x14ac:dyDescent="0.3">
      <c r="A44" s="176">
        <v>39</v>
      </c>
      <c r="B44" s="177"/>
      <c r="C44" s="178"/>
      <c r="D44" s="179"/>
      <c r="E44" s="180">
        <f t="shared" si="1"/>
        <v>0</v>
      </c>
      <c r="F44" s="45"/>
      <c r="G44" s="45"/>
      <c r="H44" s="45"/>
    </row>
    <row r="45" spans="1:8" ht="15.6" x14ac:dyDescent="0.3">
      <c r="A45" s="116">
        <v>40</v>
      </c>
      <c r="B45" s="117"/>
      <c r="C45" s="118"/>
      <c r="D45" s="119"/>
      <c r="E45" s="89">
        <f t="shared" si="1"/>
        <v>0</v>
      </c>
      <c r="F45" s="45"/>
      <c r="G45" s="45"/>
      <c r="H45" s="45"/>
    </row>
    <row r="46" spans="1:8" ht="15.6" x14ac:dyDescent="0.3">
      <c r="A46" s="176">
        <v>41</v>
      </c>
      <c r="B46" s="177"/>
      <c r="C46" s="178"/>
      <c r="D46" s="179"/>
      <c r="E46" s="180">
        <f t="shared" si="1"/>
        <v>0</v>
      </c>
      <c r="F46" s="45"/>
      <c r="G46" s="45"/>
      <c r="H46" s="45"/>
    </row>
    <row r="47" spans="1:8" ht="15.6" x14ac:dyDescent="0.3">
      <c r="A47" s="116">
        <v>42</v>
      </c>
      <c r="B47" s="117"/>
      <c r="C47" s="118"/>
      <c r="D47" s="119"/>
      <c r="E47" s="89">
        <f t="shared" si="1"/>
        <v>0</v>
      </c>
      <c r="F47" s="45"/>
      <c r="G47" s="45"/>
      <c r="H47" s="45"/>
    </row>
    <row r="48" spans="1:8" ht="15.6" x14ac:dyDescent="0.3">
      <c r="A48" s="176">
        <v>43</v>
      </c>
      <c r="B48" s="177"/>
      <c r="C48" s="178"/>
      <c r="D48" s="179"/>
      <c r="E48" s="180">
        <f t="shared" si="1"/>
        <v>0</v>
      </c>
      <c r="F48" s="45"/>
      <c r="G48" s="45"/>
      <c r="H48" s="45"/>
    </row>
    <row r="49" spans="1:8" ht="15.6" x14ac:dyDescent="0.3">
      <c r="A49" s="116">
        <v>44</v>
      </c>
      <c r="B49" s="117"/>
      <c r="C49" s="118"/>
      <c r="D49" s="119"/>
      <c r="E49" s="89">
        <f t="shared" si="1"/>
        <v>0</v>
      </c>
      <c r="F49" s="45"/>
      <c r="G49" s="45"/>
      <c r="H49" s="45"/>
    </row>
    <row r="50" spans="1:8" ht="15.6" x14ac:dyDescent="0.3">
      <c r="A50" s="176">
        <v>45</v>
      </c>
      <c r="B50" s="177"/>
      <c r="C50" s="178"/>
      <c r="D50" s="179"/>
      <c r="E50" s="180">
        <f t="shared" si="1"/>
        <v>0</v>
      </c>
      <c r="F50" s="45"/>
      <c r="G50" s="45"/>
      <c r="H50" s="45"/>
    </row>
    <row r="51" spans="1:8" ht="15.6" x14ac:dyDescent="0.3">
      <c r="A51" s="116">
        <v>46</v>
      </c>
      <c r="B51" s="117"/>
      <c r="C51" s="118"/>
      <c r="D51" s="119"/>
      <c r="E51" s="89">
        <f t="shared" ref="E51:E55" si="2">C51*D51</f>
        <v>0</v>
      </c>
      <c r="F51" s="45"/>
      <c r="G51" s="45"/>
      <c r="H51" s="45"/>
    </row>
    <row r="52" spans="1:8" ht="15.6" x14ac:dyDescent="0.3">
      <c r="A52" s="176">
        <v>47</v>
      </c>
      <c r="B52" s="177"/>
      <c r="C52" s="178"/>
      <c r="D52" s="179"/>
      <c r="E52" s="180">
        <f t="shared" si="2"/>
        <v>0</v>
      </c>
      <c r="F52" s="45"/>
      <c r="G52" s="45"/>
      <c r="H52" s="45"/>
    </row>
    <row r="53" spans="1:8" ht="15.6" x14ac:dyDescent="0.3">
      <c r="A53" s="116">
        <v>48</v>
      </c>
      <c r="B53" s="117"/>
      <c r="C53" s="118"/>
      <c r="D53" s="119"/>
      <c r="E53" s="89">
        <f t="shared" si="2"/>
        <v>0</v>
      </c>
      <c r="F53" s="45"/>
      <c r="G53" s="45"/>
      <c r="H53" s="45"/>
    </row>
    <row r="54" spans="1:8" ht="15.6" x14ac:dyDescent="0.3">
      <c r="A54" s="176">
        <v>49</v>
      </c>
      <c r="B54" s="177"/>
      <c r="C54" s="178"/>
      <c r="D54" s="179"/>
      <c r="E54" s="180">
        <f t="shared" si="2"/>
        <v>0</v>
      </c>
      <c r="F54" s="45"/>
      <c r="G54" s="45"/>
      <c r="H54" s="45"/>
    </row>
    <row r="55" spans="1:8" ht="15.6" x14ac:dyDescent="0.3">
      <c r="A55" s="116">
        <v>50</v>
      </c>
      <c r="B55" s="117"/>
      <c r="C55" s="118"/>
      <c r="D55" s="119"/>
      <c r="E55" s="89">
        <f t="shared" si="2"/>
        <v>0</v>
      </c>
      <c r="F55" s="45"/>
      <c r="G55" s="45"/>
      <c r="H55" s="45"/>
    </row>
    <row r="56" spans="1:8" ht="15.6" x14ac:dyDescent="0.3">
      <c r="A56" s="69"/>
      <c r="B56" s="76"/>
      <c r="F56" s="45"/>
      <c r="G56" s="45"/>
      <c r="H56" s="45"/>
    </row>
    <row r="57" spans="1:8" ht="15.6" x14ac:dyDescent="0.3">
      <c r="A57" s="69"/>
      <c r="B57" s="76"/>
      <c r="C57" s="143">
        <f>SUM(C6:C55)</f>
        <v>0</v>
      </c>
      <c r="D57" s="72" t="s">
        <v>28</v>
      </c>
      <c r="E57" s="11">
        <f>SUM(E6:E55)</f>
        <v>0</v>
      </c>
      <c r="F57" s="45"/>
      <c r="G57" s="45"/>
      <c r="H57" s="45"/>
    </row>
    <row r="58" spans="1:8" ht="15.6" x14ac:dyDescent="0.3">
      <c r="A58" s="69"/>
      <c r="B58" s="76"/>
      <c r="C58" s="67"/>
      <c r="D58" s="68"/>
      <c r="E58" s="77"/>
      <c r="F58" s="45"/>
      <c r="G58" s="45"/>
      <c r="H58" s="45"/>
    </row>
    <row r="59" spans="1:8" ht="15.6" x14ac:dyDescent="0.3">
      <c r="A59" s="69"/>
      <c r="B59" s="76"/>
      <c r="C59" s="67"/>
      <c r="D59" s="68"/>
      <c r="E59" s="77"/>
      <c r="F59" s="45"/>
      <c r="G59" s="45"/>
      <c r="H59" s="45"/>
    </row>
    <row r="60" spans="1:8" ht="15.6" x14ac:dyDescent="0.3">
      <c r="A60" s="69"/>
      <c r="B60" s="76"/>
      <c r="C60" s="67"/>
      <c r="D60" s="68"/>
      <c r="E60" s="77"/>
      <c r="F60" s="45"/>
      <c r="G60" s="45"/>
      <c r="H60" s="45"/>
    </row>
    <row r="61" spans="1:8" ht="15.6" x14ac:dyDescent="0.3">
      <c r="A61" s="69"/>
      <c r="B61" s="76"/>
      <c r="C61" s="67"/>
      <c r="D61" s="68"/>
      <c r="E61" s="77"/>
      <c r="F61" s="45"/>
      <c r="G61" s="45"/>
      <c r="H61" s="45"/>
    </row>
    <row r="62" spans="1:8" ht="15.6" x14ac:dyDescent="0.3">
      <c r="A62" s="69"/>
      <c r="B62" s="76"/>
      <c r="F62" s="45"/>
      <c r="G62" s="45"/>
      <c r="H62" s="45"/>
    </row>
    <row r="63" spans="1:8" ht="15.6" x14ac:dyDescent="0.3">
      <c r="A63" s="69"/>
      <c r="B63" s="76"/>
      <c r="C63" s="67"/>
      <c r="D63" s="68"/>
      <c r="E63" s="77"/>
      <c r="F63" s="45"/>
      <c r="G63" s="45"/>
      <c r="H63" s="45"/>
    </row>
    <row r="64" spans="1:8" ht="15.6" x14ac:dyDescent="0.3">
      <c r="A64" s="69"/>
      <c r="B64" s="76"/>
      <c r="C64" s="67"/>
      <c r="D64" s="68"/>
      <c r="E64" s="77"/>
      <c r="F64" s="45"/>
      <c r="G64" s="45"/>
      <c r="H64" s="45"/>
    </row>
    <row r="65" spans="1:8" ht="15.6" x14ac:dyDescent="0.3">
      <c r="A65" s="69"/>
      <c r="B65" s="76"/>
      <c r="C65" s="67"/>
      <c r="D65" s="68"/>
      <c r="E65" s="77"/>
      <c r="F65" s="45"/>
      <c r="G65" s="45"/>
      <c r="H65" s="45"/>
    </row>
    <row r="66" spans="1:8" ht="15.6" x14ac:dyDescent="0.3">
      <c r="A66" s="69"/>
      <c r="B66" s="76"/>
      <c r="C66" s="67"/>
      <c r="D66" s="68"/>
      <c r="E66" s="77"/>
      <c r="F66" s="45"/>
      <c r="G66" s="45"/>
      <c r="H66" s="45"/>
    </row>
    <row r="67" spans="1:8" ht="15.6" x14ac:dyDescent="0.3">
      <c r="A67" s="69"/>
      <c r="B67" s="76"/>
      <c r="C67" s="67"/>
      <c r="D67" s="68"/>
      <c r="E67" s="77"/>
      <c r="F67" s="45"/>
      <c r="G67" s="45"/>
      <c r="H67" s="45"/>
    </row>
    <row r="68" spans="1:8" ht="15.6" x14ac:dyDescent="0.3">
      <c r="A68" s="69"/>
      <c r="B68" s="76"/>
      <c r="C68" s="67"/>
      <c r="D68" s="68"/>
      <c r="E68" s="77"/>
      <c r="F68" s="45"/>
      <c r="G68" s="45"/>
      <c r="H68" s="45"/>
    </row>
    <row r="69" spans="1:8" ht="15.6" x14ac:dyDescent="0.3">
      <c r="A69" s="69"/>
      <c r="B69" s="76"/>
      <c r="C69" s="67"/>
      <c r="D69" s="68"/>
      <c r="E69" s="77"/>
      <c r="F69" s="45"/>
      <c r="G69" s="45"/>
      <c r="H69" s="45"/>
    </row>
    <row r="70" spans="1:8" ht="15.6" x14ac:dyDescent="0.3">
      <c r="A70" s="69"/>
      <c r="B70" s="76"/>
      <c r="C70" s="67"/>
      <c r="D70" s="68"/>
      <c r="E70" s="77"/>
      <c r="F70" s="45"/>
      <c r="G70" s="45"/>
      <c r="H70" s="45"/>
    </row>
    <row r="71" spans="1:8" ht="15.6" x14ac:dyDescent="0.3">
      <c r="A71" s="69"/>
      <c r="B71" s="76"/>
      <c r="C71" s="67"/>
      <c r="D71" s="68"/>
      <c r="E71" s="77"/>
      <c r="F71" s="45"/>
      <c r="G71" s="45"/>
      <c r="H71" s="45"/>
    </row>
    <row r="72" spans="1:8" ht="15.6" x14ac:dyDescent="0.3">
      <c r="A72" s="69"/>
      <c r="B72" s="76"/>
      <c r="C72" s="67"/>
      <c r="D72" s="68"/>
      <c r="E72" s="77"/>
      <c r="F72" s="45"/>
      <c r="G72" s="45"/>
      <c r="H72" s="45"/>
    </row>
    <row r="73" spans="1:8" ht="15.6" x14ac:dyDescent="0.3">
      <c r="A73" s="69"/>
      <c r="B73" s="76"/>
      <c r="C73" s="67"/>
      <c r="D73" s="68"/>
      <c r="E73" s="77"/>
      <c r="F73" s="45"/>
      <c r="G73" s="45"/>
      <c r="H73" s="45"/>
    </row>
    <row r="74" spans="1:8" ht="15.6" x14ac:dyDescent="0.3">
      <c r="A74" s="69"/>
      <c r="B74" s="76"/>
      <c r="C74" s="67"/>
      <c r="D74" s="68"/>
      <c r="E74" s="77"/>
      <c r="F74" s="45"/>
      <c r="G74" s="45"/>
      <c r="H74" s="45"/>
    </row>
    <row r="75" spans="1:8" ht="15.6" x14ac:dyDescent="0.3">
      <c r="A75" s="95"/>
      <c r="B75" s="1"/>
      <c r="C75" s="67"/>
      <c r="D75" s="68"/>
      <c r="E75" s="68"/>
      <c r="F75" s="45"/>
      <c r="G75" s="45"/>
      <c r="H75" s="45"/>
    </row>
    <row r="76" spans="1:8" ht="15.6" x14ac:dyDescent="0.3">
      <c r="A76" s="69"/>
      <c r="B76" s="70"/>
      <c r="C76" s="71"/>
      <c r="D76" s="72"/>
      <c r="E76" s="73"/>
      <c r="F76" s="45"/>
      <c r="G76" s="45"/>
      <c r="H76" s="45"/>
    </row>
    <row r="77" spans="1:8" x14ac:dyDescent="0.3">
      <c r="B77" s="45"/>
      <c r="C77" s="46"/>
      <c r="D77" s="47"/>
      <c r="E77" s="47"/>
      <c r="F77" s="45"/>
      <c r="G77" s="45"/>
      <c r="H77" s="45"/>
    </row>
    <row r="78" spans="1:8" x14ac:dyDescent="0.3">
      <c r="B78" s="45"/>
      <c r="C78" s="46"/>
      <c r="D78" s="47"/>
      <c r="E78" s="47"/>
      <c r="F78" s="45"/>
      <c r="G78" s="45"/>
      <c r="H78" s="45"/>
    </row>
    <row r="79" spans="1:8" x14ac:dyDescent="0.3">
      <c r="B79" s="45"/>
      <c r="C79" s="46"/>
      <c r="D79" s="47"/>
      <c r="E79" s="47"/>
      <c r="F79" s="45"/>
      <c r="G79" s="45"/>
      <c r="H79" s="45"/>
    </row>
    <row r="80" spans="1:8" x14ac:dyDescent="0.3">
      <c r="B80" s="45"/>
      <c r="C80" s="46"/>
      <c r="D80" s="47"/>
      <c r="E80" s="47"/>
      <c r="F80" s="45"/>
      <c r="G80" s="45"/>
      <c r="H80" s="45"/>
    </row>
    <row r="81" spans="2:8" x14ac:dyDescent="0.3">
      <c r="B81" s="45"/>
      <c r="C81" s="46"/>
      <c r="D81" s="47"/>
      <c r="E81" s="47"/>
      <c r="F81" s="45"/>
      <c r="G81" s="45"/>
      <c r="H81" s="45"/>
    </row>
    <row r="82" spans="2:8" x14ac:dyDescent="0.3">
      <c r="B82" s="45"/>
      <c r="C82" s="46"/>
      <c r="D82" s="47"/>
      <c r="E82" s="47"/>
      <c r="F82" s="45"/>
      <c r="G82" s="45"/>
      <c r="H82" s="45"/>
    </row>
    <row r="83" spans="2:8" x14ac:dyDescent="0.3">
      <c r="B83" s="45"/>
      <c r="C83" s="46"/>
      <c r="D83" s="47"/>
      <c r="E83" s="47"/>
      <c r="F83" s="45"/>
      <c r="G83" s="45"/>
      <c r="H83" s="45"/>
    </row>
    <row r="84" spans="2:8" x14ac:dyDescent="0.3">
      <c r="B84" s="45"/>
      <c r="C84" s="46"/>
      <c r="D84" s="47"/>
      <c r="E84" s="47"/>
      <c r="F84" s="45"/>
      <c r="G84" s="45"/>
      <c r="H84" s="45"/>
    </row>
    <row r="85" spans="2:8" x14ac:dyDescent="0.3">
      <c r="B85" s="45"/>
      <c r="C85" s="46"/>
      <c r="D85" s="47"/>
      <c r="E85" s="47"/>
      <c r="F85" s="45"/>
      <c r="G85" s="45"/>
      <c r="H85" s="45"/>
    </row>
    <row r="86" spans="2:8" x14ac:dyDescent="0.3">
      <c r="B86" s="45"/>
      <c r="C86" s="46"/>
      <c r="D86" s="47"/>
      <c r="E86" s="47"/>
      <c r="F86" s="45"/>
      <c r="G86" s="45"/>
      <c r="H86" s="45"/>
    </row>
    <row r="87" spans="2:8" x14ac:dyDescent="0.3">
      <c r="B87" s="45"/>
      <c r="C87" s="46"/>
      <c r="D87" s="47"/>
      <c r="E87" s="47"/>
      <c r="F87" s="45"/>
      <c r="G87" s="45"/>
      <c r="H87" s="45"/>
    </row>
    <row r="88" spans="2:8" x14ac:dyDescent="0.3">
      <c r="B88" s="45"/>
      <c r="C88" s="46"/>
      <c r="D88" s="47"/>
      <c r="E88" s="47"/>
      <c r="F88" s="45"/>
      <c r="G88" s="45"/>
      <c r="H88" s="45"/>
    </row>
    <row r="89" spans="2:8" x14ac:dyDescent="0.3">
      <c r="B89" s="45"/>
      <c r="C89" s="46"/>
      <c r="D89" s="47"/>
      <c r="E89" s="47"/>
      <c r="F89" s="45"/>
      <c r="G89" s="45"/>
      <c r="H89" s="45"/>
    </row>
    <row r="90" spans="2:8" x14ac:dyDescent="0.3">
      <c r="B90" s="45"/>
      <c r="C90" s="46"/>
      <c r="D90" s="47"/>
      <c r="E90" s="47"/>
      <c r="F90" s="45"/>
      <c r="G90" s="45"/>
      <c r="H90" s="45"/>
    </row>
    <row r="91" spans="2:8" x14ac:dyDescent="0.3">
      <c r="B91" s="45"/>
      <c r="C91" s="46"/>
      <c r="D91" s="47"/>
      <c r="E91" s="47"/>
      <c r="F91" s="45"/>
      <c r="G91" s="45"/>
      <c r="H91" s="45"/>
    </row>
    <row r="92" spans="2:8" x14ac:dyDescent="0.3">
      <c r="B92" s="45"/>
      <c r="C92" s="46"/>
      <c r="D92" s="47"/>
      <c r="E92" s="47"/>
      <c r="F92" s="45"/>
      <c r="G92" s="45"/>
      <c r="H92" s="45"/>
    </row>
    <row r="93" spans="2:8" x14ac:dyDescent="0.3">
      <c r="B93" s="45"/>
      <c r="C93" s="46"/>
      <c r="D93" s="47"/>
      <c r="E93" s="47"/>
      <c r="F93" s="45"/>
      <c r="G93" s="45"/>
      <c r="H93" s="45"/>
    </row>
    <row r="94" spans="2:8" x14ac:dyDescent="0.3">
      <c r="B94" s="45"/>
      <c r="C94" s="46"/>
      <c r="D94" s="47"/>
      <c r="E94" s="47"/>
      <c r="F94" s="45"/>
      <c r="G94" s="45"/>
      <c r="H94" s="45"/>
    </row>
    <row r="95" spans="2:8" x14ac:dyDescent="0.3">
      <c r="B95" s="45"/>
      <c r="C95" s="46"/>
      <c r="D95" s="47"/>
      <c r="E95" s="47"/>
      <c r="F95" s="45"/>
      <c r="G95" s="45"/>
      <c r="H95" s="45"/>
    </row>
    <row r="96" spans="2:8" x14ac:dyDescent="0.3">
      <c r="B96" s="45"/>
      <c r="C96" s="46"/>
      <c r="D96" s="47"/>
      <c r="E96" s="47"/>
      <c r="F96" s="45"/>
      <c r="G96" s="45"/>
      <c r="H96" s="45"/>
    </row>
    <row r="97" spans="2:8" x14ac:dyDescent="0.3">
      <c r="B97" s="45"/>
      <c r="C97" s="46"/>
      <c r="D97" s="47"/>
      <c r="E97" s="47"/>
      <c r="F97" s="45"/>
      <c r="G97" s="45"/>
      <c r="H97" s="45"/>
    </row>
    <row r="98" spans="2:8" x14ac:dyDescent="0.3">
      <c r="B98" s="45"/>
      <c r="C98" s="46"/>
      <c r="D98" s="47"/>
      <c r="E98" s="47"/>
      <c r="F98" s="45"/>
      <c r="G98" s="45"/>
      <c r="H98" s="45"/>
    </row>
    <row r="99" spans="2:8" x14ac:dyDescent="0.3">
      <c r="B99" s="45"/>
      <c r="C99" s="46"/>
      <c r="D99" s="47"/>
      <c r="E99" s="47"/>
      <c r="F99" s="45"/>
      <c r="G99" s="45"/>
      <c r="H99" s="45"/>
    </row>
    <row r="100" spans="2:8" x14ac:dyDescent="0.3">
      <c r="B100" s="45"/>
      <c r="C100" s="46"/>
      <c r="D100" s="47"/>
      <c r="E100" s="47"/>
      <c r="F100" s="45"/>
      <c r="G100" s="45"/>
      <c r="H100" s="45"/>
    </row>
    <row r="101" spans="2:8" x14ac:dyDescent="0.3">
      <c r="B101" s="45"/>
      <c r="C101" s="46"/>
      <c r="D101" s="47"/>
      <c r="E101" s="47"/>
      <c r="F101" s="45"/>
      <c r="G101" s="45"/>
      <c r="H101" s="45"/>
    </row>
    <row r="102" spans="2:8" x14ac:dyDescent="0.3">
      <c r="B102" s="45"/>
      <c r="C102" s="46"/>
      <c r="D102" s="47"/>
      <c r="E102" s="47"/>
      <c r="F102" s="45"/>
      <c r="G102" s="45"/>
      <c r="H102" s="45"/>
    </row>
    <row r="103" spans="2:8" x14ac:dyDescent="0.3">
      <c r="B103" s="45"/>
      <c r="C103" s="46"/>
      <c r="D103" s="47"/>
      <c r="E103" s="47"/>
      <c r="F103" s="45"/>
      <c r="G103" s="45"/>
      <c r="H103" s="45"/>
    </row>
    <row r="104" spans="2:8" x14ac:dyDescent="0.3">
      <c r="B104" s="45"/>
      <c r="C104" s="46"/>
      <c r="D104" s="47"/>
      <c r="E104" s="47"/>
      <c r="F104" s="45"/>
      <c r="G104" s="45"/>
      <c r="H104" s="45"/>
    </row>
    <row r="105" spans="2:8" x14ac:dyDescent="0.3">
      <c r="B105" s="45"/>
      <c r="C105" s="46"/>
      <c r="D105" s="47"/>
      <c r="E105" s="47"/>
      <c r="F105" s="45"/>
      <c r="G105" s="45"/>
      <c r="H105" s="45"/>
    </row>
    <row r="106" spans="2:8" x14ac:dyDescent="0.3">
      <c r="B106" s="45"/>
      <c r="C106" s="46"/>
      <c r="D106" s="47"/>
      <c r="E106" s="47"/>
      <c r="F106" s="45"/>
      <c r="G106" s="45"/>
      <c r="H106" s="45"/>
    </row>
    <row r="107" spans="2:8" x14ac:dyDescent="0.3">
      <c r="B107" s="45"/>
      <c r="C107" s="46"/>
      <c r="D107" s="47"/>
      <c r="E107" s="47"/>
      <c r="F107" s="45"/>
      <c r="G107" s="45"/>
      <c r="H107" s="45"/>
    </row>
    <row r="108" spans="2:8" x14ac:dyDescent="0.3">
      <c r="B108" s="45"/>
      <c r="C108" s="46"/>
      <c r="D108" s="47"/>
      <c r="E108" s="47"/>
      <c r="F108" s="45"/>
      <c r="G108" s="45"/>
      <c r="H108" s="45"/>
    </row>
    <row r="109" spans="2:8" x14ac:dyDescent="0.3">
      <c r="B109" s="45"/>
      <c r="C109" s="46"/>
      <c r="D109" s="47"/>
      <c r="E109" s="47"/>
      <c r="F109" s="45"/>
      <c r="G109" s="45"/>
      <c r="H109" s="45"/>
    </row>
    <row r="110" spans="2:8" x14ac:dyDescent="0.3">
      <c r="B110" s="45"/>
      <c r="C110" s="46"/>
      <c r="D110" s="47"/>
      <c r="E110" s="47"/>
      <c r="F110" s="45"/>
      <c r="G110" s="45"/>
      <c r="H110" s="45"/>
    </row>
    <row r="111" spans="2:8" x14ac:dyDescent="0.3">
      <c r="B111" s="45"/>
      <c r="C111" s="46"/>
      <c r="D111" s="47"/>
      <c r="E111" s="47"/>
      <c r="F111" s="45"/>
      <c r="G111" s="45"/>
      <c r="H111" s="45"/>
    </row>
    <row r="112" spans="2:8" x14ac:dyDescent="0.3">
      <c r="B112" s="45"/>
      <c r="C112" s="46"/>
      <c r="D112" s="47"/>
      <c r="E112" s="47"/>
      <c r="F112" s="45"/>
      <c r="G112" s="45"/>
      <c r="H112" s="45"/>
    </row>
    <row r="113" spans="2:8" x14ac:dyDescent="0.3">
      <c r="B113" s="45"/>
      <c r="C113" s="46"/>
      <c r="D113" s="47"/>
      <c r="E113" s="47"/>
      <c r="F113" s="45"/>
      <c r="G113" s="45"/>
      <c r="H113" s="45"/>
    </row>
    <row r="114" spans="2:8" x14ac:dyDescent="0.3">
      <c r="B114" s="45"/>
      <c r="C114" s="46"/>
      <c r="D114" s="47"/>
      <c r="E114" s="47"/>
      <c r="F114" s="45"/>
      <c r="G114" s="45"/>
      <c r="H114" s="45"/>
    </row>
    <row r="115" spans="2:8" x14ac:dyDescent="0.3">
      <c r="B115" s="45"/>
      <c r="C115" s="46"/>
      <c r="D115" s="47"/>
      <c r="E115" s="47"/>
      <c r="F115" s="45"/>
      <c r="G115" s="45"/>
      <c r="H115" s="45"/>
    </row>
    <row r="116" spans="2:8" x14ac:dyDescent="0.3">
      <c r="B116" s="45"/>
      <c r="C116" s="46"/>
      <c r="D116" s="47"/>
      <c r="E116" s="47"/>
      <c r="F116" s="45"/>
      <c r="G116" s="45"/>
      <c r="H116" s="45"/>
    </row>
    <row r="117" spans="2:8" x14ac:dyDescent="0.3">
      <c r="B117" s="45"/>
      <c r="C117" s="46"/>
      <c r="D117" s="47"/>
      <c r="E117" s="47"/>
      <c r="F117" s="45"/>
      <c r="G117" s="45"/>
      <c r="H117" s="45"/>
    </row>
    <row r="118" spans="2:8" x14ac:dyDescent="0.3">
      <c r="B118" s="45"/>
      <c r="C118" s="46"/>
      <c r="D118" s="47"/>
      <c r="E118" s="47"/>
      <c r="F118" s="45"/>
      <c r="G118" s="45"/>
      <c r="H118" s="45"/>
    </row>
    <row r="119" spans="2:8" x14ac:dyDescent="0.3">
      <c r="B119" s="45"/>
      <c r="C119" s="46"/>
      <c r="D119" s="47"/>
      <c r="E119" s="47"/>
      <c r="F119" s="45"/>
      <c r="G119" s="45"/>
      <c r="H119" s="45"/>
    </row>
    <row r="120" spans="2:8" x14ac:dyDescent="0.3">
      <c r="B120" s="45"/>
      <c r="C120" s="46"/>
      <c r="D120" s="47"/>
      <c r="E120" s="47"/>
      <c r="F120" s="45"/>
      <c r="G120" s="45"/>
      <c r="H120" s="45"/>
    </row>
    <row r="121" spans="2:8" x14ac:dyDescent="0.3">
      <c r="B121" s="45"/>
      <c r="C121" s="46"/>
      <c r="D121" s="47"/>
      <c r="E121" s="47"/>
      <c r="F121" s="45"/>
      <c r="G121" s="45"/>
      <c r="H121" s="45"/>
    </row>
    <row r="122" spans="2:8" x14ac:dyDescent="0.3">
      <c r="B122" s="45"/>
      <c r="C122" s="46"/>
      <c r="D122" s="47"/>
      <c r="E122" s="47"/>
      <c r="F122" s="45"/>
      <c r="G122" s="45"/>
      <c r="H122" s="45"/>
    </row>
    <row r="123" spans="2:8" x14ac:dyDescent="0.3">
      <c r="B123" s="45"/>
      <c r="C123" s="46"/>
      <c r="D123" s="47"/>
      <c r="E123" s="47"/>
    </row>
    <row r="124" spans="2:8" x14ac:dyDescent="0.3">
      <c r="B124" s="45"/>
      <c r="C124" s="46"/>
      <c r="D124" s="47"/>
      <c r="E124" s="47"/>
    </row>
  </sheetData>
  <sheetProtection insertColumns="0" insertRows="0" deleteRows="0" selectLockedCells="1"/>
  <protectedRanges>
    <protectedRange algorithmName="SHA-512" hashValue="YbmYrDHTcN3zaWCnXtADW3I2NrNwdrHUj90YJbICUixiw6qnDNJWKgy05oFUc6Nuew8k32PpCBUt2TXuTDxVnQ==" saltValue="19DUXFS/F7DmLawkmWUmsQ==" spinCount="100000" sqref="C63:D74 B9:B74 C6:D55 C58:D61" name="Labor Materials"/>
  </protectedRanges>
  <mergeCells count="1">
    <mergeCell ref="A1:E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336AD-D024-47F6-8C88-48BD63FDEA53}">
  <sheetPr codeName="Sheet5"/>
  <dimension ref="A1:J85"/>
  <sheetViews>
    <sheetView workbookViewId="0">
      <pane ySplit="5" topLeftCell="A33" activePane="bottomLeft" state="frozen"/>
      <selection pane="bottomLeft" activeCell="G42" sqref="G42"/>
    </sheetView>
  </sheetViews>
  <sheetFormatPr defaultRowHeight="14.4" x14ac:dyDescent="0.3"/>
  <cols>
    <col min="1" max="1" width="9.109375" style="94" customWidth="1"/>
    <col min="2" max="2" width="36" style="44" customWidth="1"/>
    <col min="3" max="3" width="19.33203125" style="44" customWidth="1"/>
    <col min="4" max="4" width="26.77734375" style="44" customWidth="1"/>
    <col min="5" max="5" width="9.33203125" style="48" customWidth="1"/>
    <col min="6" max="6" width="17.33203125" style="49" customWidth="1"/>
    <col min="7" max="7" width="18.6640625" style="49" customWidth="1"/>
    <col min="8" max="8" width="17.88671875" style="44" customWidth="1"/>
    <col min="9" max="16384" width="8.88671875" style="44"/>
  </cols>
  <sheetData>
    <row r="1" spans="1:10" ht="14.4" customHeight="1" x14ac:dyDescent="0.3">
      <c r="A1" s="144" t="s">
        <v>59</v>
      </c>
      <c r="B1" s="144"/>
      <c r="C1" s="144"/>
      <c r="D1" s="144"/>
      <c r="E1" s="144"/>
      <c r="F1" s="144"/>
      <c r="G1" s="144"/>
      <c r="H1" s="45"/>
      <c r="I1" s="45"/>
      <c r="J1" s="45"/>
    </row>
    <row r="2" spans="1:10" ht="14.4" customHeight="1" x14ac:dyDescent="0.3">
      <c r="A2" s="144"/>
      <c r="B2" s="144"/>
      <c r="C2" s="144"/>
      <c r="D2" s="144"/>
      <c r="E2" s="144"/>
      <c r="F2" s="144"/>
      <c r="G2" s="144"/>
      <c r="H2" s="45"/>
      <c r="I2" s="45"/>
      <c r="J2" s="45"/>
    </row>
    <row r="3" spans="1:10" x14ac:dyDescent="0.3">
      <c r="A3" s="144"/>
      <c r="B3" s="144"/>
      <c r="C3" s="144"/>
      <c r="D3" s="144"/>
      <c r="E3" s="144"/>
      <c r="F3" s="144"/>
      <c r="G3" s="144"/>
      <c r="H3" s="45"/>
      <c r="I3" s="45"/>
      <c r="J3" s="45"/>
    </row>
    <row r="4" spans="1:10" x14ac:dyDescent="0.3">
      <c r="B4" s="45"/>
      <c r="C4" s="45"/>
      <c r="D4" s="45"/>
      <c r="E4" s="46"/>
      <c r="F4" s="47"/>
      <c r="G4" s="47"/>
      <c r="H4" s="45"/>
      <c r="I4" s="45"/>
      <c r="J4" s="45"/>
    </row>
    <row r="5" spans="1:10" ht="18" thickBot="1" x14ac:dyDescent="0.5">
      <c r="A5" s="104" t="s">
        <v>36</v>
      </c>
      <c r="B5" s="124" t="s">
        <v>37</v>
      </c>
      <c r="C5" s="124" t="s">
        <v>38</v>
      </c>
      <c r="D5" s="124" t="s">
        <v>39</v>
      </c>
      <c r="E5" s="125" t="s">
        <v>40</v>
      </c>
      <c r="F5" s="126" t="s">
        <v>41</v>
      </c>
      <c r="G5" s="127" t="s">
        <v>42</v>
      </c>
      <c r="H5" s="45"/>
      <c r="I5" s="45"/>
      <c r="J5" s="45"/>
    </row>
    <row r="6" spans="1:10" ht="15.6" x14ac:dyDescent="0.3">
      <c r="A6" s="181">
        <f>ROW()-5</f>
        <v>1</v>
      </c>
      <c r="B6" s="182"/>
      <c r="C6" s="182"/>
      <c r="D6" s="182"/>
      <c r="E6" s="173"/>
      <c r="F6" s="174"/>
      <c r="G6" s="175">
        <f t="shared" ref="G6:G35" si="0">E6*F6</f>
        <v>0</v>
      </c>
      <c r="H6" s="45"/>
      <c r="I6" s="45"/>
      <c r="J6" s="45"/>
    </row>
    <row r="7" spans="1:10" ht="15.6" x14ac:dyDescent="0.3">
      <c r="A7" s="122">
        <f t="shared" ref="A7:A35" si="1">ROW()-5</f>
        <v>2</v>
      </c>
      <c r="B7" s="123"/>
      <c r="C7" s="123"/>
      <c r="D7" s="123"/>
      <c r="E7" s="115"/>
      <c r="F7" s="88"/>
      <c r="G7" s="89">
        <f t="shared" si="0"/>
        <v>0</v>
      </c>
      <c r="H7" s="45"/>
      <c r="I7" s="45"/>
      <c r="J7" s="45"/>
    </row>
    <row r="8" spans="1:10" ht="15.6" x14ac:dyDescent="0.3">
      <c r="A8" s="183">
        <f t="shared" si="1"/>
        <v>3</v>
      </c>
      <c r="B8" s="184"/>
      <c r="C8" s="184"/>
      <c r="D8" s="184"/>
      <c r="E8" s="178"/>
      <c r="F8" s="179"/>
      <c r="G8" s="180">
        <f t="shared" si="0"/>
        <v>0</v>
      </c>
      <c r="H8" s="45"/>
      <c r="I8" s="45"/>
      <c r="J8" s="45"/>
    </row>
    <row r="9" spans="1:10" ht="15.6" x14ac:dyDescent="0.3">
      <c r="A9" s="122">
        <f t="shared" si="1"/>
        <v>4</v>
      </c>
      <c r="B9" s="123"/>
      <c r="C9" s="123"/>
      <c r="D9" s="123"/>
      <c r="E9" s="115"/>
      <c r="F9" s="88"/>
      <c r="G9" s="89">
        <f t="shared" si="0"/>
        <v>0</v>
      </c>
      <c r="H9" s="45"/>
      <c r="I9" s="45"/>
      <c r="J9" s="45"/>
    </row>
    <row r="10" spans="1:10" ht="15.6" x14ac:dyDescent="0.3">
      <c r="A10" s="183">
        <f t="shared" si="1"/>
        <v>5</v>
      </c>
      <c r="B10" s="184"/>
      <c r="C10" s="184"/>
      <c r="D10" s="184"/>
      <c r="E10" s="178"/>
      <c r="F10" s="179"/>
      <c r="G10" s="180">
        <f t="shared" si="0"/>
        <v>0</v>
      </c>
      <c r="H10" s="45"/>
      <c r="I10" s="45"/>
      <c r="J10" s="45"/>
    </row>
    <row r="11" spans="1:10" ht="15.6" x14ac:dyDescent="0.3">
      <c r="A11" s="122">
        <f t="shared" si="1"/>
        <v>6</v>
      </c>
      <c r="B11" s="123"/>
      <c r="C11" s="123"/>
      <c r="D11" s="123"/>
      <c r="E11" s="115"/>
      <c r="F11" s="88"/>
      <c r="G11" s="89">
        <f t="shared" si="0"/>
        <v>0</v>
      </c>
      <c r="H11" s="45"/>
      <c r="I11" s="45"/>
      <c r="J11" s="45"/>
    </row>
    <row r="12" spans="1:10" ht="15.6" x14ac:dyDescent="0.3">
      <c r="A12" s="183">
        <f t="shared" si="1"/>
        <v>7</v>
      </c>
      <c r="B12" s="184"/>
      <c r="C12" s="184"/>
      <c r="D12" s="184"/>
      <c r="E12" s="178"/>
      <c r="F12" s="179"/>
      <c r="G12" s="180">
        <f t="shared" si="0"/>
        <v>0</v>
      </c>
      <c r="H12" s="45"/>
      <c r="I12" s="45"/>
      <c r="J12" s="45"/>
    </row>
    <row r="13" spans="1:10" ht="15.6" x14ac:dyDescent="0.3">
      <c r="A13" s="122">
        <f t="shared" si="1"/>
        <v>8</v>
      </c>
      <c r="B13" s="123"/>
      <c r="C13" s="123"/>
      <c r="D13" s="123"/>
      <c r="E13" s="115"/>
      <c r="F13" s="88"/>
      <c r="G13" s="89">
        <f t="shared" si="0"/>
        <v>0</v>
      </c>
      <c r="H13" s="45"/>
      <c r="I13" s="45"/>
      <c r="J13" s="45"/>
    </row>
    <row r="14" spans="1:10" ht="15.6" x14ac:dyDescent="0.3">
      <c r="A14" s="183">
        <f t="shared" si="1"/>
        <v>9</v>
      </c>
      <c r="B14" s="184"/>
      <c r="C14" s="184"/>
      <c r="D14" s="184"/>
      <c r="E14" s="178"/>
      <c r="F14" s="179"/>
      <c r="G14" s="180">
        <f t="shared" si="0"/>
        <v>0</v>
      </c>
      <c r="H14" s="45"/>
      <c r="I14" s="45"/>
      <c r="J14" s="45"/>
    </row>
    <row r="15" spans="1:10" ht="15.6" x14ac:dyDescent="0.3">
      <c r="A15" s="122">
        <f t="shared" si="1"/>
        <v>10</v>
      </c>
      <c r="B15" s="123"/>
      <c r="C15" s="123"/>
      <c r="D15" s="123"/>
      <c r="E15" s="115"/>
      <c r="F15" s="88"/>
      <c r="G15" s="89">
        <f t="shared" si="0"/>
        <v>0</v>
      </c>
      <c r="H15" s="45"/>
      <c r="I15" s="45"/>
      <c r="J15" s="45"/>
    </row>
    <row r="16" spans="1:10" ht="15.6" x14ac:dyDescent="0.3">
      <c r="A16" s="183">
        <f t="shared" si="1"/>
        <v>11</v>
      </c>
      <c r="B16" s="184"/>
      <c r="C16" s="184"/>
      <c r="D16" s="184"/>
      <c r="E16" s="178"/>
      <c r="F16" s="179"/>
      <c r="G16" s="180">
        <f t="shared" si="0"/>
        <v>0</v>
      </c>
      <c r="H16" s="45"/>
      <c r="I16" s="45"/>
      <c r="J16" s="45"/>
    </row>
    <row r="17" spans="1:10" ht="15.6" x14ac:dyDescent="0.3">
      <c r="A17" s="122">
        <f t="shared" si="1"/>
        <v>12</v>
      </c>
      <c r="B17" s="123"/>
      <c r="C17" s="123"/>
      <c r="D17" s="123"/>
      <c r="E17" s="115"/>
      <c r="F17" s="88"/>
      <c r="G17" s="89">
        <f t="shared" si="0"/>
        <v>0</v>
      </c>
      <c r="H17" s="45"/>
      <c r="I17" s="45"/>
      <c r="J17" s="45"/>
    </row>
    <row r="18" spans="1:10" ht="15.6" x14ac:dyDescent="0.3">
      <c r="A18" s="183">
        <f t="shared" si="1"/>
        <v>13</v>
      </c>
      <c r="B18" s="184"/>
      <c r="C18" s="184"/>
      <c r="D18" s="184"/>
      <c r="E18" s="178"/>
      <c r="F18" s="179"/>
      <c r="G18" s="180">
        <f t="shared" si="0"/>
        <v>0</v>
      </c>
      <c r="H18" s="45"/>
      <c r="I18" s="45"/>
      <c r="J18" s="45"/>
    </row>
    <row r="19" spans="1:10" ht="15.6" x14ac:dyDescent="0.3">
      <c r="A19" s="122">
        <f t="shared" si="1"/>
        <v>14</v>
      </c>
      <c r="B19" s="123"/>
      <c r="C19" s="123"/>
      <c r="D19" s="123"/>
      <c r="E19" s="115"/>
      <c r="F19" s="88"/>
      <c r="G19" s="89">
        <f t="shared" si="0"/>
        <v>0</v>
      </c>
      <c r="H19" s="45"/>
      <c r="I19" s="45"/>
      <c r="J19" s="45"/>
    </row>
    <row r="20" spans="1:10" ht="15.6" x14ac:dyDescent="0.3">
      <c r="A20" s="183">
        <f t="shared" si="1"/>
        <v>15</v>
      </c>
      <c r="B20" s="184"/>
      <c r="C20" s="184"/>
      <c r="D20" s="184"/>
      <c r="E20" s="178"/>
      <c r="F20" s="179"/>
      <c r="G20" s="180">
        <f t="shared" si="0"/>
        <v>0</v>
      </c>
      <c r="H20" s="45"/>
      <c r="I20" s="45"/>
      <c r="J20" s="45"/>
    </row>
    <row r="21" spans="1:10" ht="15.6" x14ac:dyDescent="0.3">
      <c r="A21" s="122">
        <f t="shared" si="1"/>
        <v>16</v>
      </c>
      <c r="B21" s="123"/>
      <c r="C21" s="123"/>
      <c r="D21" s="123"/>
      <c r="E21" s="115"/>
      <c r="F21" s="88"/>
      <c r="G21" s="89">
        <f t="shared" si="0"/>
        <v>0</v>
      </c>
      <c r="H21" s="45"/>
      <c r="I21" s="45"/>
      <c r="J21" s="45"/>
    </row>
    <row r="22" spans="1:10" ht="15.6" x14ac:dyDescent="0.3">
      <c r="A22" s="183">
        <f t="shared" si="1"/>
        <v>17</v>
      </c>
      <c r="B22" s="184"/>
      <c r="C22" s="184"/>
      <c r="D22" s="184"/>
      <c r="E22" s="178"/>
      <c r="F22" s="179"/>
      <c r="G22" s="180">
        <f t="shared" si="0"/>
        <v>0</v>
      </c>
      <c r="H22" s="45"/>
      <c r="I22" s="45"/>
      <c r="J22" s="45"/>
    </row>
    <row r="23" spans="1:10" ht="15.6" x14ac:dyDescent="0.3">
      <c r="A23" s="122">
        <f t="shared" si="1"/>
        <v>18</v>
      </c>
      <c r="B23" s="123"/>
      <c r="C23" s="123"/>
      <c r="D23" s="123"/>
      <c r="E23" s="115"/>
      <c r="F23" s="88"/>
      <c r="G23" s="89">
        <f t="shared" si="0"/>
        <v>0</v>
      </c>
      <c r="H23" s="45"/>
      <c r="I23" s="45"/>
      <c r="J23" s="45"/>
    </row>
    <row r="24" spans="1:10" ht="15.6" x14ac:dyDescent="0.3">
      <c r="A24" s="183">
        <f t="shared" si="1"/>
        <v>19</v>
      </c>
      <c r="B24" s="184"/>
      <c r="C24" s="184"/>
      <c r="D24" s="184"/>
      <c r="E24" s="178"/>
      <c r="F24" s="179"/>
      <c r="G24" s="180">
        <f t="shared" si="0"/>
        <v>0</v>
      </c>
      <c r="H24" s="45"/>
      <c r="I24" s="45"/>
      <c r="J24" s="45"/>
    </row>
    <row r="25" spans="1:10" ht="15.6" x14ac:dyDescent="0.3">
      <c r="A25" s="122">
        <f t="shared" si="1"/>
        <v>20</v>
      </c>
      <c r="B25" s="123"/>
      <c r="C25" s="123"/>
      <c r="D25" s="123"/>
      <c r="E25" s="115"/>
      <c r="F25" s="88"/>
      <c r="G25" s="89">
        <f t="shared" si="0"/>
        <v>0</v>
      </c>
      <c r="H25" s="45"/>
      <c r="I25" s="45"/>
      <c r="J25" s="45"/>
    </row>
    <row r="26" spans="1:10" ht="15.6" x14ac:dyDescent="0.3">
      <c r="A26" s="183">
        <f t="shared" si="1"/>
        <v>21</v>
      </c>
      <c r="B26" s="184"/>
      <c r="C26" s="184"/>
      <c r="D26" s="184"/>
      <c r="E26" s="178"/>
      <c r="F26" s="179"/>
      <c r="G26" s="180">
        <f t="shared" si="0"/>
        <v>0</v>
      </c>
      <c r="H26" s="45"/>
      <c r="I26" s="45"/>
      <c r="J26" s="45"/>
    </row>
    <row r="27" spans="1:10" ht="15.6" x14ac:dyDescent="0.3">
      <c r="A27" s="122">
        <f t="shared" si="1"/>
        <v>22</v>
      </c>
      <c r="B27" s="123"/>
      <c r="C27" s="123"/>
      <c r="D27" s="123"/>
      <c r="E27" s="115"/>
      <c r="F27" s="88"/>
      <c r="G27" s="89">
        <f t="shared" si="0"/>
        <v>0</v>
      </c>
      <c r="H27" s="45"/>
      <c r="I27" s="45"/>
      <c r="J27" s="45"/>
    </row>
    <row r="28" spans="1:10" ht="15.6" x14ac:dyDescent="0.3">
      <c r="A28" s="183">
        <f t="shared" si="1"/>
        <v>23</v>
      </c>
      <c r="B28" s="184"/>
      <c r="C28" s="184"/>
      <c r="D28" s="184"/>
      <c r="E28" s="178"/>
      <c r="F28" s="179"/>
      <c r="G28" s="180">
        <f t="shared" si="0"/>
        <v>0</v>
      </c>
      <c r="H28" s="45"/>
      <c r="I28" s="45"/>
      <c r="J28" s="45"/>
    </row>
    <row r="29" spans="1:10" ht="15.6" x14ac:dyDescent="0.3">
      <c r="A29" s="122">
        <f t="shared" si="1"/>
        <v>24</v>
      </c>
      <c r="B29" s="123"/>
      <c r="C29" s="123"/>
      <c r="D29" s="123"/>
      <c r="E29" s="115"/>
      <c r="F29" s="88"/>
      <c r="G29" s="89">
        <f t="shared" si="0"/>
        <v>0</v>
      </c>
      <c r="H29" s="45"/>
      <c r="I29" s="45"/>
      <c r="J29" s="45"/>
    </row>
    <row r="30" spans="1:10" ht="15.6" x14ac:dyDescent="0.3">
      <c r="A30" s="183">
        <f t="shared" si="1"/>
        <v>25</v>
      </c>
      <c r="B30" s="184"/>
      <c r="C30" s="184"/>
      <c r="D30" s="184"/>
      <c r="E30" s="178"/>
      <c r="F30" s="179"/>
      <c r="G30" s="180">
        <f t="shared" si="0"/>
        <v>0</v>
      </c>
      <c r="H30" s="45"/>
      <c r="I30" s="45"/>
      <c r="J30" s="45"/>
    </row>
    <row r="31" spans="1:10" ht="15.6" x14ac:dyDescent="0.3">
      <c r="A31" s="122">
        <f t="shared" si="1"/>
        <v>26</v>
      </c>
      <c r="B31" s="123"/>
      <c r="C31" s="123"/>
      <c r="D31" s="123"/>
      <c r="E31" s="115"/>
      <c r="F31" s="88"/>
      <c r="G31" s="89">
        <f t="shared" si="0"/>
        <v>0</v>
      </c>
      <c r="H31" s="45"/>
      <c r="I31" s="45"/>
      <c r="J31" s="45"/>
    </row>
    <row r="32" spans="1:10" ht="15.6" x14ac:dyDescent="0.3">
      <c r="A32" s="183">
        <f t="shared" si="1"/>
        <v>27</v>
      </c>
      <c r="B32" s="184"/>
      <c r="C32" s="184"/>
      <c r="D32" s="184"/>
      <c r="E32" s="178"/>
      <c r="F32" s="179"/>
      <c r="G32" s="180">
        <f t="shared" si="0"/>
        <v>0</v>
      </c>
      <c r="H32" s="45"/>
      <c r="I32" s="45"/>
      <c r="J32" s="45"/>
    </row>
    <row r="33" spans="1:10" ht="15.6" x14ac:dyDescent="0.3">
      <c r="A33" s="122">
        <f t="shared" si="1"/>
        <v>28</v>
      </c>
      <c r="B33" s="123"/>
      <c r="C33" s="123"/>
      <c r="D33" s="123"/>
      <c r="E33" s="115"/>
      <c r="F33" s="88"/>
      <c r="G33" s="89">
        <f t="shared" si="0"/>
        <v>0</v>
      </c>
      <c r="H33" s="45"/>
      <c r="I33" s="45"/>
      <c r="J33" s="45"/>
    </row>
    <row r="34" spans="1:10" ht="15.6" x14ac:dyDescent="0.3">
      <c r="A34" s="183">
        <f t="shared" si="1"/>
        <v>29</v>
      </c>
      <c r="B34" s="184"/>
      <c r="C34" s="184"/>
      <c r="D34" s="184"/>
      <c r="E34" s="178"/>
      <c r="F34" s="179"/>
      <c r="G34" s="180">
        <f t="shared" si="0"/>
        <v>0</v>
      </c>
      <c r="H34" s="45"/>
      <c r="I34" s="45"/>
      <c r="J34" s="45"/>
    </row>
    <row r="35" spans="1:10" ht="15.6" x14ac:dyDescent="0.3">
      <c r="A35" s="116">
        <f t="shared" si="1"/>
        <v>30</v>
      </c>
      <c r="B35" s="117"/>
      <c r="C35" s="117"/>
      <c r="D35" s="117"/>
      <c r="E35" s="118"/>
      <c r="F35" s="119"/>
      <c r="G35" s="89">
        <f t="shared" si="0"/>
        <v>0</v>
      </c>
      <c r="H35" s="45"/>
      <c r="I35" s="45"/>
      <c r="J35" s="45"/>
    </row>
    <row r="36" spans="1:10" ht="15.6" x14ac:dyDescent="0.3">
      <c r="A36" s="95"/>
      <c r="B36" s="1"/>
      <c r="C36" s="1"/>
      <c r="D36" s="1"/>
      <c r="E36" s="67"/>
      <c r="F36" s="68"/>
      <c r="G36" s="68"/>
      <c r="H36" s="45"/>
      <c r="I36" s="45"/>
      <c r="J36" s="45"/>
    </row>
    <row r="37" spans="1:10" ht="15.6" x14ac:dyDescent="0.3">
      <c r="A37" s="69"/>
      <c r="B37" s="70"/>
      <c r="C37" s="70"/>
      <c r="D37" s="70"/>
      <c r="E37" s="71"/>
      <c r="F37" s="72" t="s">
        <v>29</v>
      </c>
      <c r="G37" s="73">
        <f>SUM(G6:G35)</f>
        <v>0</v>
      </c>
      <c r="H37" s="45"/>
      <c r="I37" s="45"/>
      <c r="J37" s="45"/>
    </row>
    <row r="38" spans="1:10" x14ac:dyDescent="0.3">
      <c r="B38" s="45"/>
      <c r="C38" s="45"/>
      <c r="D38" s="45"/>
      <c r="E38" s="46"/>
      <c r="F38" s="47"/>
      <c r="G38" s="47"/>
      <c r="H38" s="45"/>
      <c r="I38" s="45"/>
      <c r="J38" s="45"/>
    </row>
    <row r="39" spans="1:10" x14ac:dyDescent="0.3">
      <c r="B39" s="45"/>
      <c r="C39" s="45"/>
      <c r="D39" s="45"/>
      <c r="E39" s="46"/>
      <c r="F39" s="47"/>
      <c r="G39" s="47"/>
      <c r="H39" s="45"/>
      <c r="I39" s="45"/>
      <c r="J39" s="45"/>
    </row>
    <row r="40" spans="1:10" x14ac:dyDescent="0.3">
      <c r="B40" s="45"/>
      <c r="C40" s="45"/>
      <c r="D40" s="45"/>
      <c r="E40" s="46"/>
      <c r="F40" s="47"/>
      <c r="G40" s="47"/>
      <c r="H40" s="45"/>
      <c r="I40" s="45"/>
      <c r="J40" s="45"/>
    </row>
    <row r="41" spans="1:10" x14ac:dyDescent="0.3">
      <c r="B41" s="45"/>
      <c r="C41" s="45"/>
      <c r="D41" s="45"/>
      <c r="E41" s="46"/>
      <c r="F41" s="47"/>
      <c r="G41" s="47"/>
      <c r="H41" s="45"/>
      <c r="I41" s="45"/>
      <c r="J41" s="45"/>
    </row>
    <row r="42" spans="1:10" x14ac:dyDescent="0.3">
      <c r="B42" s="45"/>
      <c r="C42" s="45"/>
      <c r="D42" s="45"/>
      <c r="E42" s="46"/>
      <c r="F42" s="47"/>
      <c r="G42" s="47"/>
      <c r="H42" s="45"/>
      <c r="I42" s="45"/>
      <c r="J42" s="45"/>
    </row>
    <row r="43" spans="1:10" x14ac:dyDescent="0.3">
      <c r="B43" s="45"/>
      <c r="C43" s="45"/>
      <c r="D43" s="45"/>
      <c r="E43" s="46"/>
      <c r="F43" s="47"/>
      <c r="G43" s="47"/>
      <c r="H43" s="45"/>
      <c r="I43" s="45"/>
      <c r="J43" s="45"/>
    </row>
    <row r="44" spans="1:10" x14ac:dyDescent="0.3">
      <c r="B44" s="45"/>
      <c r="C44" s="45"/>
      <c r="D44" s="45"/>
      <c r="E44" s="46"/>
      <c r="F44" s="47"/>
      <c r="G44" s="47"/>
      <c r="H44" s="45"/>
      <c r="I44" s="45"/>
      <c r="J44" s="45"/>
    </row>
    <row r="45" spans="1:10" x14ac:dyDescent="0.3">
      <c r="B45" s="45"/>
      <c r="C45" s="45"/>
      <c r="D45" s="45"/>
      <c r="E45" s="46"/>
      <c r="F45" s="47"/>
      <c r="G45" s="47"/>
      <c r="H45" s="45"/>
      <c r="I45" s="45"/>
      <c r="J45" s="45"/>
    </row>
    <row r="46" spans="1:10" x14ac:dyDescent="0.3">
      <c r="B46" s="45"/>
      <c r="C46" s="45"/>
      <c r="D46" s="45"/>
      <c r="E46" s="46"/>
      <c r="F46" s="47"/>
      <c r="G46" s="47"/>
      <c r="H46" s="45"/>
      <c r="I46" s="45"/>
      <c r="J46" s="45"/>
    </row>
    <row r="47" spans="1:10" x14ac:dyDescent="0.3">
      <c r="B47" s="45"/>
      <c r="C47" s="45"/>
      <c r="D47" s="45"/>
      <c r="E47" s="46"/>
      <c r="F47" s="47"/>
      <c r="G47" s="47"/>
      <c r="H47" s="45"/>
      <c r="I47" s="45"/>
      <c r="J47" s="45"/>
    </row>
    <row r="48" spans="1:10" x14ac:dyDescent="0.3">
      <c r="B48" s="45"/>
      <c r="C48" s="45"/>
      <c r="D48" s="45"/>
      <c r="E48" s="46"/>
      <c r="F48" s="47"/>
      <c r="G48" s="47"/>
      <c r="H48" s="45"/>
      <c r="I48" s="45"/>
      <c r="J48" s="45"/>
    </row>
    <row r="49" spans="2:10" x14ac:dyDescent="0.3">
      <c r="B49" s="45"/>
      <c r="C49" s="45"/>
      <c r="D49" s="45"/>
      <c r="E49" s="46"/>
      <c r="F49" s="47"/>
      <c r="G49" s="47"/>
      <c r="H49" s="45"/>
      <c r="I49" s="45"/>
      <c r="J49" s="45"/>
    </row>
    <row r="50" spans="2:10" x14ac:dyDescent="0.3">
      <c r="B50" s="45"/>
      <c r="C50" s="45"/>
      <c r="D50" s="45"/>
      <c r="E50" s="46"/>
      <c r="F50" s="47"/>
      <c r="G50" s="47"/>
      <c r="H50" s="45"/>
      <c r="I50" s="45"/>
      <c r="J50" s="45"/>
    </row>
    <row r="51" spans="2:10" x14ac:dyDescent="0.3">
      <c r="B51" s="45"/>
      <c r="C51" s="45"/>
      <c r="D51" s="45"/>
      <c r="E51" s="46"/>
      <c r="F51" s="47"/>
      <c r="G51" s="47"/>
      <c r="H51" s="45"/>
      <c r="I51" s="45"/>
      <c r="J51" s="45"/>
    </row>
    <row r="52" spans="2:10" x14ac:dyDescent="0.3">
      <c r="B52" s="45"/>
      <c r="C52" s="45"/>
      <c r="D52" s="45"/>
      <c r="E52" s="46"/>
      <c r="F52" s="47"/>
      <c r="G52" s="47"/>
      <c r="H52" s="45"/>
      <c r="I52" s="45"/>
      <c r="J52" s="45"/>
    </row>
    <row r="53" spans="2:10" x14ac:dyDescent="0.3">
      <c r="B53" s="45"/>
      <c r="C53" s="45"/>
      <c r="D53" s="45"/>
      <c r="E53" s="46"/>
      <c r="F53" s="47"/>
      <c r="G53" s="47"/>
      <c r="H53" s="45"/>
      <c r="I53" s="45"/>
      <c r="J53" s="45"/>
    </row>
    <row r="54" spans="2:10" x14ac:dyDescent="0.3">
      <c r="B54" s="45"/>
      <c r="C54" s="45"/>
      <c r="D54" s="45"/>
      <c r="E54" s="46"/>
      <c r="F54" s="47"/>
      <c r="G54" s="47"/>
      <c r="H54" s="45"/>
      <c r="I54" s="45"/>
      <c r="J54" s="45"/>
    </row>
    <row r="55" spans="2:10" x14ac:dyDescent="0.3">
      <c r="B55" s="45"/>
      <c r="C55" s="45"/>
      <c r="D55" s="45"/>
      <c r="E55" s="46"/>
      <c r="F55" s="47"/>
      <c r="G55" s="47"/>
      <c r="H55" s="45"/>
      <c r="I55" s="45"/>
      <c r="J55" s="45"/>
    </row>
    <row r="56" spans="2:10" x14ac:dyDescent="0.3">
      <c r="B56" s="45"/>
      <c r="C56" s="45"/>
      <c r="D56" s="45"/>
      <c r="E56" s="46"/>
      <c r="F56" s="47"/>
      <c r="G56" s="47"/>
      <c r="H56" s="45"/>
      <c r="I56" s="45"/>
      <c r="J56" s="45"/>
    </row>
    <row r="57" spans="2:10" x14ac:dyDescent="0.3">
      <c r="B57" s="45"/>
      <c r="C57" s="45"/>
      <c r="D57" s="45"/>
      <c r="E57" s="46"/>
      <c r="F57" s="47"/>
      <c r="G57" s="47"/>
      <c r="H57" s="45"/>
      <c r="I57" s="45"/>
      <c r="J57" s="45"/>
    </row>
    <row r="58" spans="2:10" x14ac:dyDescent="0.3">
      <c r="B58" s="45"/>
      <c r="C58" s="45"/>
      <c r="D58" s="45"/>
      <c r="E58" s="46"/>
      <c r="F58" s="47"/>
      <c r="G58" s="47"/>
      <c r="H58" s="45"/>
      <c r="I58" s="45"/>
      <c r="J58" s="45"/>
    </row>
    <row r="59" spans="2:10" x14ac:dyDescent="0.3">
      <c r="B59" s="45"/>
      <c r="C59" s="45"/>
      <c r="D59" s="45"/>
      <c r="E59" s="46"/>
      <c r="F59" s="47"/>
      <c r="G59" s="47"/>
      <c r="H59" s="45"/>
      <c r="I59" s="45"/>
      <c r="J59" s="45"/>
    </row>
    <row r="60" spans="2:10" x14ac:dyDescent="0.3">
      <c r="B60" s="45"/>
      <c r="C60" s="45"/>
      <c r="D60" s="45"/>
      <c r="E60" s="46"/>
      <c r="F60" s="47"/>
      <c r="G60" s="47"/>
      <c r="H60" s="45"/>
      <c r="I60" s="45"/>
      <c r="J60" s="45"/>
    </row>
    <row r="61" spans="2:10" x14ac:dyDescent="0.3">
      <c r="B61" s="45"/>
      <c r="C61" s="45"/>
      <c r="D61" s="45"/>
      <c r="E61" s="46"/>
      <c r="F61" s="47"/>
      <c r="G61" s="47"/>
      <c r="H61" s="45"/>
      <c r="I61" s="45"/>
      <c r="J61" s="45"/>
    </row>
    <row r="62" spans="2:10" x14ac:dyDescent="0.3">
      <c r="B62" s="45"/>
      <c r="C62" s="45"/>
      <c r="D62" s="45"/>
      <c r="E62" s="46"/>
      <c r="F62" s="47"/>
      <c r="G62" s="47"/>
      <c r="H62" s="45"/>
      <c r="I62" s="45"/>
      <c r="J62" s="45"/>
    </row>
    <row r="63" spans="2:10" x14ac:dyDescent="0.3">
      <c r="B63" s="45"/>
      <c r="C63" s="45"/>
      <c r="D63" s="45"/>
      <c r="E63" s="46"/>
      <c r="F63" s="47"/>
      <c r="G63" s="47"/>
      <c r="H63" s="45"/>
      <c r="I63" s="45"/>
      <c r="J63" s="45"/>
    </row>
    <row r="64" spans="2:10" x14ac:dyDescent="0.3">
      <c r="B64" s="45"/>
      <c r="C64" s="45"/>
      <c r="D64" s="45"/>
      <c r="E64" s="46"/>
      <c r="F64" s="47"/>
      <c r="G64" s="47"/>
      <c r="H64" s="45"/>
      <c r="I64" s="45"/>
      <c r="J64" s="45"/>
    </row>
    <row r="65" spans="2:10" x14ac:dyDescent="0.3">
      <c r="B65" s="45"/>
      <c r="C65" s="45"/>
      <c r="D65" s="45"/>
      <c r="E65" s="46"/>
      <c r="F65" s="47"/>
      <c r="G65" s="47"/>
      <c r="H65" s="45"/>
      <c r="I65" s="45"/>
      <c r="J65" s="45"/>
    </row>
    <row r="66" spans="2:10" x14ac:dyDescent="0.3">
      <c r="B66" s="45"/>
      <c r="C66" s="45"/>
      <c r="D66" s="45"/>
      <c r="E66" s="46"/>
      <c r="F66" s="47"/>
      <c r="G66" s="47"/>
      <c r="H66" s="45"/>
      <c r="I66" s="45"/>
      <c r="J66" s="45"/>
    </row>
    <row r="67" spans="2:10" x14ac:dyDescent="0.3">
      <c r="B67" s="45"/>
      <c r="C67" s="45"/>
      <c r="D67" s="45"/>
      <c r="E67" s="46"/>
      <c r="F67" s="47"/>
      <c r="G67" s="47"/>
      <c r="H67" s="45"/>
      <c r="I67" s="45"/>
      <c r="J67" s="45"/>
    </row>
    <row r="68" spans="2:10" x14ac:dyDescent="0.3">
      <c r="B68" s="45"/>
      <c r="C68" s="45"/>
      <c r="D68" s="45"/>
      <c r="E68" s="46"/>
      <c r="F68" s="47"/>
      <c r="G68" s="47"/>
      <c r="H68" s="45"/>
      <c r="I68" s="45"/>
      <c r="J68" s="45"/>
    </row>
    <row r="69" spans="2:10" x14ac:dyDescent="0.3">
      <c r="B69" s="45"/>
      <c r="C69" s="45"/>
      <c r="D69" s="45"/>
      <c r="E69" s="46"/>
      <c r="F69" s="47"/>
      <c r="G69" s="47"/>
      <c r="H69" s="45"/>
      <c r="I69" s="45"/>
      <c r="J69" s="45"/>
    </row>
    <row r="70" spans="2:10" x14ac:dyDescent="0.3">
      <c r="B70" s="45"/>
      <c r="C70" s="45"/>
      <c r="D70" s="45"/>
      <c r="E70" s="46"/>
      <c r="F70" s="47"/>
      <c r="G70" s="47"/>
      <c r="H70" s="45"/>
      <c r="I70" s="45"/>
      <c r="J70" s="45"/>
    </row>
    <row r="71" spans="2:10" x14ac:dyDescent="0.3">
      <c r="B71" s="45"/>
      <c r="C71" s="45"/>
      <c r="D71" s="45"/>
      <c r="E71" s="46"/>
      <c r="F71" s="47"/>
      <c r="G71" s="47"/>
      <c r="H71" s="45"/>
      <c r="I71" s="45"/>
      <c r="J71" s="45"/>
    </row>
    <row r="72" spans="2:10" x14ac:dyDescent="0.3">
      <c r="B72" s="45"/>
      <c r="C72" s="45"/>
      <c r="D72" s="45"/>
      <c r="E72" s="46"/>
      <c r="F72" s="47"/>
      <c r="G72" s="47"/>
      <c r="H72" s="45"/>
      <c r="I72" s="45"/>
      <c r="J72" s="45"/>
    </row>
    <row r="73" spans="2:10" x14ac:dyDescent="0.3">
      <c r="B73" s="45"/>
      <c r="C73" s="45"/>
      <c r="D73" s="45"/>
      <c r="E73" s="46"/>
      <c r="F73" s="47"/>
      <c r="G73" s="47"/>
      <c r="H73" s="45"/>
      <c r="I73" s="45"/>
      <c r="J73" s="45"/>
    </row>
    <row r="74" spans="2:10" x14ac:dyDescent="0.3">
      <c r="B74" s="45"/>
      <c r="C74" s="45"/>
      <c r="D74" s="45"/>
      <c r="E74" s="46"/>
      <c r="F74" s="47"/>
      <c r="G74" s="47"/>
      <c r="H74" s="45"/>
      <c r="I74" s="45"/>
      <c r="J74" s="45"/>
    </row>
    <row r="75" spans="2:10" x14ac:dyDescent="0.3">
      <c r="B75" s="45"/>
      <c r="C75" s="45"/>
      <c r="D75" s="45"/>
      <c r="E75" s="46"/>
      <c r="F75" s="47"/>
      <c r="G75" s="47"/>
      <c r="H75" s="45"/>
      <c r="I75" s="45"/>
      <c r="J75" s="45"/>
    </row>
    <row r="76" spans="2:10" x14ac:dyDescent="0.3">
      <c r="B76" s="45"/>
      <c r="C76" s="45"/>
      <c r="D76" s="45"/>
      <c r="E76" s="46"/>
      <c r="F76" s="47"/>
      <c r="G76" s="47"/>
      <c r="H76" s="45"/>
      <c r="I76" s="45"/>
      <c r="J76" s="45"/>
    </row>
    <row r="77" spans="2:10" x14ac:dyDescent="0.3">
      <c r="B77" s="45"/>
      <c r="C77" s="45"/>
      <c r="D77" s="45"/>
      <c r="E77" s="46"/>
      <c r="F77" s="47"/>
      <c r="G77" s="47"/>
      <c r="H77" s="45"/>
      <c r="I77" s="45"/>
      <c r="J77" s="45"/>
    </row>
    <row r="78" spans="2:10" x14ac:dyDescent="0.3">
      <c r="B78" s="45"/>
      <c r="C78" s="45"/>
      <c r="D78" s="45"/>
      <c r="E78" s="46"/>
      <c r="F78" s="47"/>
      <c r="G78" s="47"/>
      <c r="H78" s="45"/>
      <c r="I78" s="45"/>
      <c r="J78" s="45"/>
    </row>
    <row r="79" spans="2:10" x14ac:dyDescent="0.3">
      <c r="B79" s="45"/>
      <c r="C79" s="45"/>
      <c r="D79" s="45"/>
      <c r="E79" s="46"/>
      <c r="F79" s="47"/>
      <c r="G79" s="47"/>
      <c r="H79" s="45"/>
      <c r="I79" s="45"/>
      <c r="J79" s="45"/>
    </row>
    <row r="80" spans="2:10" x14ac:dyDescent="0.3">
      <c r="B80" s="45"/>
      <c r="C80" s="45"/>
      <c r="D80" s="45"/>
      <c r="E80" s="46"/>
      <c r="F80" s="47"/>
      <c r="G80" s="47"/>
      <c r="H80" s="45"/>
      <c r="I80" s="45"/>
      <c r="J80" s="45"/>
    </row>
    <row r="81" spans="2:10" x14ac:dyDescent="0.3">
      <c r="B81" s="45"/>
      <c r="C81" s="45"/>
      <c r="D81" s="45"/>
      <c r="E81" s="46"/>
      <c r="F81" s="47"/>
      <c r="G81" s="47"/>
      <c r="H81" s="45"/>
      <c r="I81" s="45"/>
      <c r="J81" s="45"/>
    </row>
    <row r="82" spans="2:10" x14ac:dyDescent="0.3">
      <c r="B82" s="45"/>
      <c r="C82" s="45"/>
      <c r="D82" s="45"/>
      <c r="E82" s="46"/>
      <c r="F82" s="47"/>
      <c r="G82" s="47"/>
      <c r="H82" s="45"/>
      <c r="I82" s="45"/>
      <c r="J82" s="45"/>
    </row>
    <row r="83" spans="2:10" x14ac:dyDescent="0.3">
      <c r="B83" s="45"/>
      <c r="C83" s="45"/>
      <c r="D83" s="45"/>
      <c r="E83" s="46"/>
      <c r="F83" s="47"/>
      <c r="G83" s="47"/>
      <c r="H83" s="45"/>
      <c r="I83" s="45"/>
      <c r="J83" s="45"/>
    </row>
    <row r="84" spans="2:10" x14ac:dyDescent="0.3">
      <c r="B84" s="45"/>
      <c r="C84" s="45"/>
      <c r="D84" s="45"/>
      <c r="E84" s="46"/>
      <c r="F84" s="47"/>
      <c r="G84" s="47"/>
    </row>
    <row r="85" spans="2:10" x14ac:dyDescent="0.3">
      <c r="B85" s="45"/>
      <c r="C85" s="45"/>
      <c r="D85" s="45"/>
      <c r="E85" s="46"/>
      <c r="F85" s="47"/>
      <c r="G85" s="47"/>
    </row>
  </sheetData>
  <sheetProtection insertColumns="0" insertRows="0" deleteRows="0" selectLockedCells="1"/>
  <protectedRanges>
    <protectedRange algorithmName="SHA-512" hashValue="YbmYrDHTcN3zaWCnXtADW3I2NrNwdrHUj90YJbICUixiw6qnDNJWKgy05oFUc6Nuew8k32PpCBUt2TXuTDxVnQ==" saltValue="19DUXFS/F7DmLawkmWUmsQ==" spinCount="100000" sqref="B6:F35" name="Labor Materials"/>
  </protectedRanges>
  <mergeCells count="1">
    <mergeCell ref="A1:G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3195B-9B6D-471D-A5B0-5C4CC62A223A}">
  <sheetPr codeName="Sheet2"/>
  <dimension ref="A1:H108"/>
  <sheetViews>
    <sheetView workbookViewId="0">
      <pane ySplit="5" topLeftCell="A25" activePane="bottomLeft" state="frozen"/>
      <selection pane="bottomLeft" activeCell="D6" sqref="D6"/>
    </sheetView>
  </sheetViews>
  <sheetFormatPr defaultRowHeight="14.4" x14ac:dyDescent="0.3"/>
  <cols>
    <col min="1" max="1" width="8.88671875" style="91"/>
    <col min="2" max="2" width="75.77734375" style="44" customWidth="1"/>
    <col min="3" max="3" width="10.88671875" style="48" customWidth="1"/>
    <col min="4" max="4" width="20.5546875" style="49" customWidth="1"/>
    <col min="5" max="5" width="16.5546875" style="49" customWidth="1"/>
    <col min="6" max="6" width="17.88671875" style="44" customWidth="1"/>
    <col min="7" max="16384" width="8.88671875" style="44"/>
  </cols>
  <sheetData>
    <row r="1" spans="1:8" ht="14.4" customHeight="1" x14ac:dyDescent="1.05">
      <c r="A1" s="144" t="s">
        <v>60</v>
      </c>
      <c r="B1" s="144"/>
      <c r="C1" s="144"/>
      <c r="D1" s="144"/>
      <c r="E1" s="144"/>
      <c r="F1" s="43"/>
      <c r="G1" s="43"/>
      <c r="H1" s="43"/>
    </row>
    <row r="2" spans="1:8" ht="14.4" customHeight="1" x14ac:dyDescent="1.05">
      <c r="A2" s="144"/>
      <c r="B2" s="144"/>
      <c r="C2" s="144"/>
      <c r="D2" s="144"/>
      <c r="E2" s="144"/>
      <c r="F2" s="43"/>
      <c r="G2" s="43"/>
      <c r="H2" s="43"/>
    </row>
    <row r="3" spans="1:8" ht="14.4" customHeight="1" x14ac:dyDescent="1.05">
      <c r="A3" s="144"/>
      <c r="B3" s="144"/>
      <c r="C3" s="144"/>
      <c r="D3" s="144"/>
      <c r="E3" s="144"/>
      <c r="F3" s="43"/>
      <c r="G3" s="43"/>
      <c r="H3" s="43"/>
    </row>
    <row r="4" spans="1:8" x14ac:dyDescent="0.3">
      <c r="B4" s="45"/>
      <c r="C4" s="46"/>
      <c r="D4" s="47"/>
      <c r="E4" s="47"/>
      <c r="F4" s="45"/>
      <c r="G4" s="45"/>
      <c r="H4" s="45"/>
    </row>
    <row r="5" spans="1:8" ht="18" thickBot="1" x14ac:dyDescent="0.5">
      <c r="A5" s="129" t="s">
        <v>31</v>
      </c>
      <c r="B5" s="104" t="s">
        <v>32</v>
      </c>
      <c r="C5" s="106" t="s">
        <v>33</v>
      </c>
      <c r="D5" s="107" t="s">
        <v>34</v>
      </c>
      <c r="E5" s="108" t="s">
        <v>35</v>
      </c>
      <c r="G5" s="45"/>
      <c r="H5" s="45"/>
    </row>
    <row r="6" spans="1:8" ht="15.6" x14ac:dyDescent="0.3">
      <c r="A6" s="185">
        <v>1</v>
      </c>
      <c r="B6" s="172"/>
      <c r="C6" s="173"/>
      <c r="D6" s="174"/>
      <c r="E6" s="175">
        <f>C6*D6</f>
        <v>0</v>
      </c>
      <c r="G6" s="45"/>
      <c r="H6" s="45"/>
    </row>
    <row r="7" spans="1:8" ht="15.6" x14ac:dyDescent="0.3">
      <c r="A7" s="128">
        <v>2</v>
      </c>
      <c r="B7" s="42"/>
      <c r="C7" s="115"/>
      <c r="D7" s="88"/>
      <c r="E7" s="89">
        <f t="shared" ref="E7:E20" si="0">C7*D7</f>
        <v>0</v>
      </c>
      <c r="G7" s="45"/>
      <c r="H7" s="45"/>
    </row>
    <row r="8" spans="1:8" ht="15.6" x14ac:dyDescent="0.3">
      <c r="A8" s="185">
        <v>3</v>
      </c>
      <c r="B8" s="177"/>
      <c r="C8" s="178"/>
      <c r="D8" s="179"/>
      <c r="E8" s="180">
        <f t="shared" si="0"/>
        <v>0</v>
      </c>
      <c r="G8" s="45"/>
      <c r="H8" s="45"/>
    </row>
    <row r="9" spans="1:8" ht="15.6" x14ac:dyDescent="0.3">
      <c r="A9" s="128">
        <v>4</v>
      </c>
      <c r="B9" s="42"/>
      <c r="C9" s="115"/>
      <c r="D9" s="88"/>
      <c r="E9" s="89">
        <f t="shared" si="0"/>
        <v>0</v>
      </c>
      <c r="G9" s="45"/>
      <c r="H9" s="45"/>
    </row>
    <row r="10" spans="1:8" ht="15.6" x14ac:dyDescent="0.3">
      <c r="A10" s="185">
        <v>5</v>
      </c>
      <c r="B10" s="177"/>
      <c r="C10" s="178"/>
      <c r="D10" s="179"/>
      <c r="E10" s="180">
        <f t="shared" si="0"/>
        <v>0</v>
      </c>
      <c r="G10" s="45"/>
      <c r="H10" s="45"/>
    </row>
    <row r="11" spans="1:8" ht="15.6" x14ac:dyDescent="0.3">
      <c r="A11" s="128">
        <v>6</v>
      </c>
      <c r="B11" s="42"/>
      <c r="C11" s="115"/>
      <c r="D11" s="88"/>
      <c r="E11" s="89">
        <f t="shared" si="0"/>
        <v>0</v>
      </c>
      <c r="G11" s="45"/>
      <c r="H11" s="45"/>
    </row>
    <row r="12" spans="1:8" ht="15.6" x14ac:dyDescent="0.3">
      <c r="A12" s="185">
        <v>7</v>
      </c>
      <c r="B12" s="177"/>
      <c r="C12" s="178"/>
      <c r="D12" s="179"/>
      <c r="E12" s="180">
        <f t="shared" si="0"/>
        <v>0</v>
      </c>
      <c r="G12" s="45"/>
      <c r="H12" s="45"/>
    </row>
    <row r="13" spans="1:8" ht="15.6" x14ac:dyDescent="0.3">
      <c r="A13" s="128">
        <v>8</v>
      </c>
      <c r="B13" s="42"/>
      <c r="C13" s="115"/>
      <c r="D13" s="88"/>
      <c r="E13" s="89">
        <f t="shared" si="0"/>
        <v>0</v>
      </c>
      <c r="G13" s="45"/>
      <c r="H13" s="45"/>
    </row>
    <row r="14" spans="1:8" ht="15.6" x14ac:dyDescent="0.3">
      <c r="A14" s="185">
        <v>9</v>
      </c>
      <c r="B14" s="177"/>
      <c r="C14" s="178"/>
      <c r="D14" s="179"/>
      <c r="E14" s="180">
        <f t="shared" si="0"/>
        <v>0</v>
      </c>
      <c r="G14" s="45"/>
      <c r="H14" s="45"/>
    </row>
    <row r="15" spans="1:8" ht="15.6" x14ac:dyDescent="0.3">
      <c r="A15" s="128">
        <v>10</v>
      </c>
      <c r="B15" s="42"/>
      <c r="C15" s="115"/>
      <c r="D15" s="88"/>
      <c r="E15" s="89">
        <f t="shared" si="0"/>
        <v>0</v>
      </c>
      <c r="G15" s="45"/>
      <c r="H15" s="45"/>
    </row>
    <row r="16" spans="1:8" ht="15.6" x14ac:dyDescent="0.3">
      <c r="A16" s="185">
        <v>11</v>
      </c>
      <c r="B16" s="177"/>
      <c r="C16" s="178"/>
      <c r="D16" s="179"/>
      <c r="E16" s="180">
        <f t="shared" si="0"/>
        <v>0</v>
      </c>
      <c r="G16" s="45"/>
      <c r="H16" s="45"/>
    </row>
    <row r="17" spans="1:8" ht="15.6" x14ac:dyDescent="0.3">
      <c r="A17" s="128">
        <v>12</v>
      </c>
      <c r="B17" s="42"/>
      <c r="C17" s="115"/>
      <c r="D17" s="88"/>
      <c r="E17" s="89">
        <f t="shared" si="0"/>
        <v>0</v>
      </c>
      <c r="G17" s="45"/>
      <c r="H17" s="45"/>
    </row>
    <row r="18" spans="1:8" ht="15.6" x14ac:dyDescent="0.3">
      <c r="A18" s="185">
        <v>13</v>
      </c>
      <c r="B18" s="177"/>
      <c r="C18" s="178"/>
      <c r="D18" s="179"/>
      <c r="E18" s="180">
        <f t="shared" si="0"/>
        <v>0</v>
      </c>
      <c r="G18" s="45"/>
      <c r="H18" s="45"/>
    </row>
    <row r="19" spans="1:8" ht="15.6" x14ac:dyDescent="0.3">
      <c r="A19" s="128">
        <v>14</v>
      </c>
      <c r="B19" s="42"/>
      <c r="C19" s="115"/>
      <c r="D19" s="88"/>
      <c r="E19" s="89">
        <f t="shared" si="0"/>
        <v>0</v>
      </c>
      <c r="G19" s="45"/>
      <c r="H19" s="45"/>
    </row>
    <row r="20" spans="1:8" ht="15.6" x14ac:dyDescent="0.3">
      <c r="A20" s="185">
        <v>15</v>
      </c>
      <c r="B20" s="177"/>
      <c r="C20" s="178"/>
      <c r="D20" s="179"/>
      <c r="E20" s="180">
        <f t="shared" si="0"/>
        <v>0</v>
      </c>
      <c r="G20" s="45"/>
      <c r="H20" s="45"/>
    </row>
    <row r="21" spans="1:8" ht="15.6" x14ac:dyDescent="0.3">
      <c r="A21" s="128">
        <v>16</v>
      </c>
      <c r="B21" s="42"/>
      <c r="C21" s="115"/>
      <c r="D21" s="88"/>
      <c r="E21" s="89">
        <f t="shared" ref="E21:E32" si="1">C21*D21</f>
        <v>0</v>
      </c>
      <c r="G21" s="45"/>
      <c r="H21" s="45"/>
    </row>
    <row r="22" spans="1:8" ht="15.6" x14ac:dyDescent="0.3">
      <c r="A22" s="185">
        <v>17</v>
      </c>
      <c r="B22" s="177"/>
      <c r="C22" s="178"/>
      <c r="D22" s="179"/>
      <c r="E22" s="180">
        <f t="shared" si="1"/>
        <v>0</v>
      </c>
      <c r="G22" s="45"/>
      <c r="H22" s="45"/>
    </row>
    <row r="23" spans="1:8" ht="15.6" x14ac:dyDescent="0.3">
      <c r="A23" s="128">
        <v>18</v>
      </c>
      <c r="B23" s="42"/>
      <c r="C23" s="115"/>
      <c r="D23" s="88"/>
      <c r="E23" s="89">
        <f t="shared" si="1"/>
        <v>0</v>
      </c>
      <c r="G23" s="45"/>
      <c r="H23" s="45"/>
    </row>
    <row r="24" spans="1:8" ht="15.6" x14ac:dyDescent="0.3">
      <c r="A24" s="185">
        <v>19</v>
      </c>
      <c r="B24" s="177"/>
      <c r="C24" s="178"/>
      <c r="D24" s="179"/>
      <c r="E24" s="180">
        <f t="shared" si="1"/>
        <v>0</v>
      </c>
      <c r="G24" s="45"/>
      <c r="H24" s="45"/>
    </row>
    <row r="25" spans="1:8" ht="15.6" x14ac:dyDescent="0.3">
      <c r="A25" s="128">
        <v>20</v>
      </c>
      <c r="B25" s="42"/>
      <c r="C25" s="115"/>
      <c r="D25" s="88"/>
      <c r="E25" s="89">
        <f t="shared" si="1"/>
        <v>0</v>
      </c>
      <c r="G25" s="45"/>
      <c r="H25" s="45"/>
    </row>
    <row r="26" spans="1:8" ht="15.6" x14ac:dyDescent="0.3">
      <c r="A26" s="185">
        <v>21</v>
      </c>
      <c r="B26" s="177"/>
      <c r="C26" s="178"/>
      <c r="D26" s="179"/>
      <c r="E26" s="180">
        <f t="shared" si="1"/>
        <v>0</v>
      </c>
      <c r="G26" s="45"/>
      <c r="H26" s="45"/>
    </row>
    <row r="27" spans="1:8" ht="15.6" x14ac:dyDescent="0.3">
      <c r="A27" s="128">
        <v>22</v>
      </c>
      <c r="B27" s="42"/>
      <c r="C27" s="115"/>
      <c r="D27" s="88"/>
      <c r="E27" s="89">
        <f t="shared" si="1"/>
        <v>0</v>
      </c>
      <c r="G27" s="45"/>
      <c r="H27" s="45"/>
    </row>
    <row r="28" spans="1:8" ht="15.6" x14ac:dyDescent="0.3">
      <c r="A28" s="185">
        <v>23</v>
      </c>
      <c r="B28" s="177"/>
      <c r="C28" s="178"/>
      <c r="D28" s="179"/>
      <c r="E28" s="180">
        <f t="shared" si="1"/>
        <v>0</v>
      </c>
      <c r="G28" s="45"/>
      <c r="H28" s="45"/>
    </row>
    <row r="29" spans="1:8" ht="15.6" x14ac:dyDescent="0.3">
      <c r="A29" s="128">
        <v>24</v>
      </c>
      <c r="B29" s="42"/>
      <c r="C29" s="115"/>
      <c r="D29" s="88"/>
      <c r="E29" s="89">
        <f t="shared" si="1"/>
        <v>0</v>
      </c>
      <c r="G29" s="45"/>
      <c r="H29" s="45"/>
    </row>
    <row r="30" spans="1:8" ht="15.6" x14ac:dyDescent="0.3">
      <c r="A30" s="185">
        <v>25</v>
      </c>
      <c r="B30" s="177"/>
      <c r="C30" s="178"/>
      <c r="D30" s="179"/>
      <c r="E30" s="180">
        <f t="shared" si="1"/>
        <v>0</v>
      </c>
      <c r="G30" s="45"/>
      <c r="H30" s="45"/>
    </row>
    <row r="31" spans="1:8" ht="15.6" x14ac:dyDescent="0.3">
      <c r="A31" s="128">
        <v>26</v>
      </c>
      <c r="B31" s="42"/>
      <c r="C31" s="115"/>
      <c r="D31" s="88"/>
      <c r="E31" s="89">
        <f t="shared" si="1"/>
        <v>0</v>
      </c>
      <c r="G31" s="45"/>
      <c r="H31" s="45"/>
    </row>
    <row r="32" spans="1:8" ht="15.6" x14ac:dyDescent="0.3">
      <c r="A32" s="185">
        <v>27</v>
      </c>
      <c r="B32" s="177"/>
      <c r="C32" s="178"/>
      <c r="D32" s="179"/>
      <c r="E32" s="180">
        <f t="shared" si="1"/>
        <v>0</v>
      </c>
      <c r="G32" s="45"/>
      <c r="H32" s="45"/>
    </row>
    <row r="33" spans="1:8" ht="15.6" x14ac:dyDescent="0.3">
      <c r="A33" s="128">
        <v>28</v>
      </c>
      <c r="B33" s="42"/>
      <c r="C33" s="115"/>
      <c r="D33" s="88"/>
      <c r="E33" s="89">
        <f t="shared" ref="E33:E34" si="2">C33*D33</f>
        <v>0</v>
      </c>
      <c r="G33" s="45"/>
      <c r="H33" s="45"/>
    </row>
    <row r="34" spans="1:8" ht="15.6" x14ac:dyDescent="0.3">
      <c r="A34" s="185">
        <v>29</v>
      </c>
      <c r="B34" s="177"/>
      <c r="C34" s="178"/>
      <c r="D34" s="179"/>
      <c r="E34" s="180">
        <f t="shared" si="2"/>
        <v>0</v>
      </c>
      <c r="G34" s="45"/>
      <c r="H34" s="45"/>
    </row>
    <row r="35" spans="1:8" ht="15.6" x14ac:dyDescent="0.3">
      <c r="A35" s="128">
        <v>30</v>
      </c>
      <c r="B35" s="42"/>
      <c r="C35" s="115"/>
      <c r="D35" s="88"/>
      <c r="E35" s="89">
        <f t="shared" ref="E35" si="3">C35*D35</f>
        <v>0</v>
      </c>
      <c r="G35" s="45"/>
      <c r="H35" s="45"/>
    </row>
    <row r="36" spans="1:8" x14ac:dyDescent="0.3">
      <c r="A36" s="2"/>
      <c r="B36" s="1"/>
      <c r="C36" s="130"/>
      <c r="D36" s="3"/>
      <c r="E36" s="131"/>
      <c r="F36" s="45"/>
      <c r="G36" s="45"/>
      <c r="H36" s="45"/>
    </row>
    <row r="37" spans="1:8" ht="15.6" x14ac:dyDescent="0.3">
      <c r="A37" s="71"/>
      <c r="B37" s="71"/>
      <c r="C37" s="74">
        <f>SUM(C6:C35)</f>
        <v>0</v>
      </c>
      <c r="D37" s="72" t="s">
        <v>30</v>
      </c>
      <c r="E37" s="73">
        <f>SUM(E6:E35)</f>
        <v>0</v>
      </c>
      <c r="F37" s="45"/>
      <c r="G37" s="45"/>
      <c r="H37" s="45"/>
    </row>
    <row r="38" spans="1:8" x14ac:dyDescent="0.3">
      <c r="B38" s="45"/>
      <c r="C38" s="46"/>
      <c r="D38" s="47"/>
      <c r="E38" s="47"/>
      <c r="F38" s="45"/>
      <c r="G38" s="45"/>
      <c r="H38" s="45"/>
    </row>
    <row r="39" spans="1:8" ht="14.4" customHeight="1" x14ac:dyDescent="0.3">
      <c r="B39" s="45"/>
      <c r="C39" s="46"/>
      <c r="D39" s="47"/>
      <c r="E39" s="47"/>
      <c r="F39" s="45"/>
      <c r="G39" s="45"/>
      <c r="H39" s="45"/>
    </row>
    <row r="40" spans="1:8" ht="14.4" customHeight="1" x14ac:dyDescent="1.05">
      <c r="A40" s="92"/>
      <c r="B40" s="43"/>
      <c r="C40" s="43"/>
      <c r="D40" s="43"/>
      <c r="E40" s="43"/>
      <c r="F40" s="45"/>
      <c r="G40" s="45"/>
      <c r="H40" s="45"/>
    </row>
    <row r="41" spans="1:8" ht="14.4" customHeight="1" x14ac:dyDescent="1.05">
      <c r="A41" s="92"/>
      <c r="B41" s="43"/>
      <c r="C41" s="43"/>
      <c r="D41" s="43"/>
      <c r="E41" s="43"/>
      <c r="F41" s="45"/>
      <c r="G41" s="45"/>
      <c r="H41" s="45"/>
    </row>
    <row r="42" spans="1:8" ht="14.4" customHeight="1" x14ac:dyDescent="1.05">
      <c r="A42" s="92"/>
      <c r="B42" s="43"/>
      <c r="C42" s="43"/>
      <c r="D42" s="43"/>
      <c r="E42" s="43"/>
      <c r="F42" s="45"/>
      <c r="G42" s="45"/>
      <c r="H42" s="45"/>
    </row>
    <row r="43" spans="1:8" x14ac:dyDescent="0.3">
      <c r="B43" s="45"/>
      <c r="C43" s="46"/>
      <c r="D43" s="75"/>
      <c r="E43" s="75"/>
      <c r="F43" s="45"/>
      <c r="G43" s="45"/>
      <c r="H43" s="45"/>
    </row>
    <row r="44" spans="1:8" ht="17.399999999999999" x14ac:dyDescent="0.45">
      <c r="A44" s="78"/>
      <c r="B44" s="79"/>
      <c r="C44" s="80"/>
      <c r="D44" s="81"/>
      <c r="E44" s="82"/>
      <c r="F44" s="45"/>
      <c r="G44" s="45"/>
      <c r="H44" s="45"/>
    </row>
    <row r="45" spans="1:8" ht="15.6" x14ac:dyDescent="0.3">
      <c r="A45" s="93"/>
      <c r="B45" s="83"/>
      <c r="C45" s="84"/>
      <c r="D45" s="85"/>
      <c r="E45" s="86"/>
      <c r="F45" s="45"/>
      <c r="G45" s="45"/>
      <c r="H45" s="45"/>
    </row>
    <row r="46" spans="1:8" ht="15.6" x14ac:dyDescent="0.3">
      <c r="A46" s="93"/>
      <c r="B46" s="83"/>
      <c r="C46" s="84"/>
      <c r="D46" s="85"/>
      <c r="E46" s="86"/>
      <c r="F46" s="45"/>
      <c r="G46" s="45"/>
      <c r="H46" s="45"/>
    </row>
    <row r="47" spans="1:8" ht="15.6" x14ac:dyDescent="0.3">
      <c r="A47" s="93"/>
      <c r="B47" s="83"/>
      <c r="C47" s="84"/>
      <c r="D47" s="85"/>
      <c r="E47" s="86"/>
      <c r="F47" s="45"/>
      <c r="G47" s="45"/>
      <c r="H47" s="45"/>
    </row>
    <row r="48" spans="1:8" ht="15.6" x14ac:dyDescent="0.3">
      <c r="A48" s="93"/>
      <c r="B48" s="83"/>
      <c r="C48" s="84"/>
      <c r="D48" s="85"/>
      <c r="E48" s="86"/>
      <c r="F48" s="45"/>
      <c r="G48" s="45"/>
      <c r="H48" s="45"/>
    </row>
    <row r="49" spans="1:8" ht="15.6" x14ac:dyDescent="0.3">
      <c r="A49" s="93"/>
      <c r="B49" s="83"/>
      <c r="C49" s="84"/>
      <c r="D49" s="85"/>
      <c r="E49" s="86"/>
      <c r="F49" s="45"/>
      <c r="G49" s="45"/>
      <c r="H49" s="45"/>
    </row>
    <row r="50" spans="1:8" ht="15.6" x14ac:dyDescent="0.3">
      <c r="A50" s="93"/>
      <c r="B50" s="83"/>
      <c r="C50" s="84"/>
      <c r="D50" s="85"/>
      <c r="E50" s="86"/>
      <c r="F50" s="45"/>
      <c r="G50" s="45"/>
      <c r="H50" s="45"/>
    </row>
    <row r="51" spans="1:8" ht="15.6" x14ac:dyDescent="0.3">
      <c r="A51" s="93"/>
      <c r="B51" s="83"/>
      <c r="C51" s="84"/>
      <c r="D51" s="85"/>
      <c r="E51" s="86"/>
      <c r="F51" s="45"/>
      <c r="G51" s="45"/>
      <c r="H51" s="45"/>
    </row>
    <row r="52" spans="1:8" ht="15.6" x14ac:dyDescent="0.3">
      <c r="A52" s="93"/>
      <c r="B52" s="83"/>
      <c r="C52" s="84"/>
      <c r="D52" s="85"/>
      <c r="E52" s="86"/>
      <c r="F52" s="45"/>
      <c r="G52" s="45"/>
      <c r="H52" s="45"/>
    </row>
    <row r="53" spans="1:8" ht="15.6" x14ac:dyDescent="0.3">
      <c r="A53" s="93"/>
      <c r="B53" s="83"/>
      <c r="C53" s="84"/>
      <c r="D53" s="85"/>
      <c r="E53" s="86"/>
      <c r="F53" s="45"/>
      <c r="G53" s="45"/>
      <c r="H53" s="45"/>
    </row>
    <row r="54" spans="1:8" ht="15.6" x14ac:dyDescent="0.3">
      <c r="A54" s="93"/>
      <c r="B54" s="83"/>
      <c r="C54" s="84"/>
      <c r="D54" s="85"/>
      <c r="E54" s="86"/>
      <c r="F54" s="45"/>
      <c r="G54" s="45"/>
      <c r="H54" s="45"/>
    </row>
    <row r="55" spans="1:8" ht="15.6" x14ac:dyDescent="0.3">
      <c r="A55" s="93"/>
      <c r="B55" s="83"/>
      <c r="C55" s="84"/>
      <c r="D55" s="85"/>
      <c r="E55" s="86"/>
      <c r="F55" s="45"/>
      <c r="G55" s="45"/>
      <c r="H55" s="45"/>
    </row>
    <row r="56" spans="1:8" ht="15.6" x14ac:dyDescent="0.3">
      <c r="A56" s="93"/>
      <c r="B56" s="83"/>
      <c r="C56" s="84"/>
      <c r="D56" s="85"/>
      <c r="E56" s="86"/>
      <c r="F56" s="45"/>
      <c r="G56" s="45"/>
      <c r="H56" s="45"/>
    </row>
    <row r="57" spans="1:8" ht="15.6" x14ac:dyDescent="0.3">
      <c r="A57" s="93"/>
      <c r="B57" s="83"/>
      <c r="C57" s="84"/>
      <c r="D57" s="85"/>
      <c r="E57" s="86"/>
      <c r="F57" s="45"/>
      <c r="G57" s="45"/>
      <c r="H57" s="45"/>
    </row>
    <row r="58" spans="1:8" ht="15.6" x14ac:dyDescent="0.3">
      <c r="A58" s="93"/>
      <c r="B58" s="83"/>
      <c r="C58" s="84"/>
      <c r="D58" s="85"/>
      <c r="E58" s="86"/>
      <c r="F58" s="45"/>
      <c r="G58" s="45"/>
      <c r="H58" s="45"/>
    </row>
    <row r="59" spans="1:8" ht="15.6" x14ac:dyDescent="0.3">
      <c r="A59" s="93"/>
      <c r="B59" s="83"/>
      <c r="C59" s="84"/>
      <c r="D59" s="85"/>
      <c r="E59" s="86"/>
      <c r="F59" s="45"/>
      <c r="G59" s="45"/>
      <c r="H59" s="45"/>
    </row>
    <row r="60" spans="1:8" ht="15.6" x14ac:dyDescent="0.3">
      <c r="B60" s="45"/>
      <c r="C60" s="145"/>
      <c r="D60" s="145"/>
      <c r="E60" s="87"/>
      <c r="F60" s="45"/>
      <c r="G60" s="45"/>
      <c r="H60" s="45"/>
    </row>
    <row r="61" spans="1:8" x14ac:dyDescent="0.3">
      <c r="B61" s="45"/>
      <c r="C61" s="46"/>
      <c r="D61" s="75"/>
      <c r="E61" s="75"/>
      <c r="F61" s="45"/>
      <c r="G61" s="45"/>
      <c r="H61" s="45"/>
    </row>
    <row r="62" spans="1:8" x14ac:dyDescent="0.3">
      <c r="B62" s="45"/>
      <c r="C62" s="46"/>
      <c r="D62" s="47"/>
      <c r="E62" s="47"/>
      <c r="F62" s="45"/>
      <c r="G62" s="45"/>
      <c r="H62" s="45"/>
    </row>
    <row r="63" spans="1:8" x14ac:dyDescent="0.3">
      <c r="B63" s="45"/>
      <c r="C63" s="46"/>
      <c r="D63" s="47"/>
      <c r="E63" s="47"/>
      <c r="F63" s="45"/>
      <c r="G63" s="45"/>
      <c r="H63" s="45"/>
    </row>
    <row r="64" spans="1:8" x14ac:dyDescent="0.3">
      <c r="B64" s="45"/>
      <c r="C64" s="46"/>
      <c r="D64" s="47"/>
      <c r="E64" s="47"/>
      <c r="F64" s="45"/>
      <c r="G64" s="45"/>
      <c r="H64" s="45"/>
    </row>
    <row r="65" spans="2:8" x14ac:dyDescent="0.3">
      <c r="B65" s="45"/>
      <c r="C65" s="46"/>
      <c r="D65" s="47"/>
      <c r="E65" s="47"/>
      <c r="F65" s="45"/>
      <c r="G65" s="45"/>
      <c r="H65" s="45"/>
    </row>
    <row r="66" spans="2:8" x14ac:dyDescent="0.3">
      <c r="B66" s="45"/>
      <c r="C66" s="46"/>
      <c r="D66" s="47"/>
      <c r="E66" s="47"/>
      <c r="F66" s="45"/>
      <c r="G66" s="45"/>
      <c r="H66" s="45"/>
    </row>
    <row r="67" spans="2:8" x14ac:dyDescent="0.3">
      <c r="B67" s="45"/>
      <c r="C67" s="46"/>
      <c r="D67" s="47"/>
      <c r="E67" s="47"/>
      <c r="F67" s="45"/>
      <c r="G67" s="45"/>
      <c r="H67" s="45"/>
    </row>
    <row r="68" spans="2:8" x14ac:dyDescent="0.3">
      <c r="B68" s="45"/>
      <c r="C68" s="46"/>
      <c r="D68" s="47"/>
      <c r="E68" s="47"/>
      <c r="F68" s="45"/>
      <c r="G68" s="45"/>
      <c r="H68" s="45"/>
    </row>
    <row r="69" spans="2:8" x14ac:dyDescent="0.3">
      <c r="B69" s="45"/>
      <c r="C69" s="46"/>
      <c r="D69" s="47"/>
      <c r="E69" s="47"/>
      <c r="F69" s="45"/>
      <c r="G69" s="45"/>
      <c r="H69" s="45"/>
    </row>
    <row r="70" spans="2:8" x14ac:dyDescent="0.3">
      <c r="B70" s="45"/>
      <c r="C70" s="46"/>
      <c r="D70" s="47"/>
      <c r="E70" s="47"/>
      <c r="F70" s="45"/>
      <c r="G70" s="45"/>
      <c r="H70" s="45"/>
    </row>
    <row r="71" spans="2:8" x14ac:dyDescent="0.3">
      <c r="B71" s="45"/>
      <c r="C71" s="46"/>
      <c r="D71" s="47"/>
      <c r="E71" s="47"/>
      <c r="F71" s="45"/>
      <c r="G71" s="45"/>
      <c r="H71" s="45"/>
    </row>
    <row r="72" spans="2:8" x14ac:dyDescent="0.3">
      <c r="B72" s="45"/>
      <c r="C72" s="46"/>
      <c r="D72" s="47"/>
      <c r="E72" s="47"/>
      <c r="F72" s="45"/>
      <c r="G72" s="45"/>
      <c r="H72" s="45"/>
    </row>
    <row r="73" spans="2:8" x14ac:dyDescent="0.3">
      <c r="B73" s="45"/>
      <c r="C73" s="46"/>
      <c r="D73" s="47"/>
      <c r="E73" s="47"/>
      <c r="F73" s="45"/>
      <c r="G73" s="45"/>
      <c r="H73" s="45"/>
    </row>
    <row r="74" spans="2:8" x14ac:dyDescent="0.3">
      <c r="B74" s="45"/>
      <c r="C74" s="46"/>
      <c r="D74" s="47"/>
      <c r="E74" s="47"/>
      <c r="F74" s="45"/>
      <c r="G74" s="45"/>
      <c r="H74" s="45"/>
    </row>
    <row r="75" spans="2:8" x14ac:dyDescent="0.3">
      <c r="B75" s="45"/>
      <c r="C75" s="46"/>
      <c r="D75" s="47"/>
      <c r="E75" s="47"/>
      <c r="F75" s="45"/>
      <c r="G75" s="45"/>
      <c r="H75" s="45"/>
    </row>
    <row r="76" spans="2:8" x14ac:dyDescent="0.3">
      <c r="B76" s="45"/>
      <c r="C76" s="46"/>
      <c r="D76" s="47"/>
      <c r="E76" s="47"/>
      <c r="F76" s="45"/>
      <c r="G76" s="45"/>
      <c r="H76" s="45"/>
    </row>
    <row r="77" spans="2:8" x14ac:dyDescent="0.3">
      <c r="B77" s="45"/>
      <c r="C77" s="46"/>
      <c r="D77" s="47"/>
      <c r="E77" s="47"/>
      <c r="F77" s="45"/>
      <c r="G77" s="45"/>
      <c r="H77" s="45"/>
    </row>
    <row r="78" spans="2:8" x14ac:dyDescent="0.3">
      <c r="B78" s="45"/>
      <c r="C78" s="46"/>
      <c r="D78" s="47"/>
      <c r="E78" s="47"/>
      <c r="F78" s="45"/>
      <c r="G78" s="45"/>
      <c r="H78" s="45"/>
    </row>
    <row r="79" spans="2:8" x14ac:dyDescent="0.3">
      <c r="B79" s="45"/>
      <c r="C79" s="46"/>
      <c r="D79" s="47"/>
      <c r="E79" s="47"/>
      <c r="F79" s="45"/>
      <c r="G79" s="45"/>
      <c r="H79" s="45"/>
    </row>
    <row r="80" spans="2:8" x14ac:dyDescent="0.3">
      <c r="B80" s="45"/>
      <c r="C80" s="46"/>
      <c r="D80" s="47"/>
      <c r="E80" s="47"/>
      <c r="F80" s="45"/>
      <c r="G80" s="45"/>
      <c r="H80" s="45"/>
    </row>
    <row r="81" spans="2:8" x14ac:dyDescent="0.3">
      <c r="B81" s="45"/>
      <c r="C81" s="46"/>
      <c r="D81" s="47"/>
      <c r="E81" s="47"/>
      <c r="F81" s="45"/>
      <c r="G81" s="45"/>
      <c r="H81" s="45"/>
    </row>
    <row r="82" spans="2:8" x14ac:dyDescent="0.3">
      <c r="B82" s="45"/>
      <c r="C82" s="46"/>
      <c r="D82" s="47"/>
      <c r="E82" s="47"/>
      <c r="F82" s="45"/>
      <c r="G82" s="45"/>
      <c r="H82" s="45"/>
    </row>
    <row r="83" spans="2:8" x14ac:dyDescent="0.3">
      <c r="B83" s="45"/>
      <c r="C83" s="46"/>
      <c r="D83" s="47"/>
      <c r="E83" s="47"/>
      <c r="F83" s="45"/>
      <c r="G83" s="45"/>
      <c r="H83" s="45"/>
    </row>
    <row r="84" spans="2:8" x14ac:dyDescent="0.3">
      <c r="B84" s="45"/>
      <c r="C84" s="46"/>
      <c r="D84" s="47"/>
      <c r="E84" s="47"/>
      <c r="F84" s="45"/>
      <c r="G84" s="45"/>
      <c r="H84" s="45"/>
    </row>
    <row r="85" spans="2:8" x14ac:dyDescent="0.3">
      <c r="B85" s="45"/>
      <c r="C85" s="46"/>
      <c r="D85" s="47"/>
      <c r="E85" s="47"/>
      <c r="F85" s="45"/>
      <c r="G85" s="45"/>
      <c r="H85" s="45"/>
    </row>
    <row r="86" spans="2:8" x14ac:dyDescent="0.3">
      <c r="B86" s="45"/>
      <c r="C86" s="46"/>
      <c r="D86" s="47"/>
      <c r="E86" s="47"/>
      <c r="F86" s="45"/>
      <c r="G86" s="45"/>
      <c r="H86" s="45"/>
    </row>
    <row r="87" spans="2:8" x14ac:dyDescent="0.3">
      <c r="B87" s="45"/>
      <c r="C87" s="46"/>
      <c r="D87" s="47"/>
      <c r="E87" s="47"/>
      <c r="F87" s="45"/>
      <c r="G87" s="45"/>
      <c r="H87" s="45"/>
    </row>
    <row r="88" spans="2:8" x14ac:dyDescent="0.3">
      <c r="B88" s="45"/>
      <c r="C88" s="46"/>
      <c r="D88" s="47"/>
      <c r="E88" s="47"/>
      <c r="F88" s="45"/>
      <c r="G88" s="45"/>
      <c r="H88" s="45"/>
    </row>
    <row r="89" spans="2:8" x14ac:dyDescent="0.3">
      <c r="B89" s="45"/>
      <c r="C89" s="46"/>
      <c r="D89" s="47"/>
      <c r="E89" s="47"/>
      <c r="F89" s="45"/>
      <c r="G89" s="45"/>
      <c r="H89" s="45"/>
    </row>
    <row r="90" spans="2:8" x14ac:dyDescent="0.3">
      <c r="B90" s="45"/>
      <c r="C90" s="46"/>
      <c r="D90" s="47"/>
      <c r="E90" s="47"/>
      <c r="F90" s="45"/>
      <c r="G90" s="45"/>
      <c r="H90" s="45"/>
    </row>
    <row r="91" spans="2:8" x14ac:dyDescent="0.3">
      <c r="B91" s="45"/>
      <c r="C91" s="46"/>
      <c r="D91" s="47"/>
      <c r="E91" s="47"/>
      <c r="F91" s="45"/>
      <c r="G91" s="45"/>
      <c r="H91" s="45"/>
    </row>
    <row r="92" spans="2:8" x14ac:dyDescent="0.3">
      <c r="B92" s="45"/>
      <c r="C92" s="46"/>
      <c r="D92" s="47"/>
      <c r="E92" s="47"/>
      <c r="F92" s="45"/>
      <c r="G92" s="45"/>
      <c r="H92" s="45"/>
    </row>
    <row r="93" spans="2:8" x14ac:dyDescent="0.3">
      <c r="B93" s="45"/>
      <c r="C93" s="46"/>
      <c r="D93" s="47"/>
      <c r="E93" s="47"/>
      <c r="F93" s="45"/>
      <c r="G93" s="45"/>
      <c r="H93" s="45"/>
    </row>
    <row r="94" spans="2:8" x14ac:dyDescent="0.3">
      <c r="B94" s="45"/>
      <c r="C94" s="46"/>
      <c r="D94" s="47"/>
      <c r="E94" s="47"/>
      <c r="F94" s="45"/>
      <c r="G94" s="45"/>
      <c r="H94" s="45"/>
    </row>
    <row r="95" spans="2:8" x14ac:dyDescent="0.3">
      <c r="B95" s="45"/>
      <c r="C95" s="46"/>
      <c r="D95" s="47"/>
      <c r="E95" s="47"/>
      <c r="F95" s="45"/>
      <c r="G95" s="45"/>
      <c r="H95" s="45"/>
    </row>
    <row r="96" spans="2:8" x14ac:dyDescent="0.3">
      <c r="B96" s="45"/>
      <c r="C96" s="46"/>
      <c r="D96" s="47"/>
      <c r="E96" s="47"/>
      <c r="F96" s="45"/>
      <c r="G96" s="45"/>
      <c r="H96" s="45"/>
    </row>
    <row r="97" spans="2:8" x14ac:dyDescent="0.3">
      <c r="B97" s="45"/>
      <c r="C97" s="46"/>
      <c r="D97" s="47"/>
      <c r="E97" s="47"/>
      <c r="F97" s="45"/>
      <c r="G97" s="45"/>
      <c r="H97" s="45"/>
    </row>
    <row r="98" spans="2:8" x14ac:dyDescent="0.3">
      <c r="B98" s="45"/>
      <c r="C98" s="46"/>
      <c r="D98" s="47"/>
      <c r="E98" s="47"/>
      <c r="F98" s="45"/>
      <c r="G98" s="45"/>
      <c r="H98" s="45"/>
    </row>
    <row r="99" spans="2:8" x14ac:dyDescent="0.3">
      <c r="B99" s="45"/>
      <c r="C99" s="46"/>
      <c r="D99" s="47"/>
      <c r="E99" s="47"/>
      <c r="F99" s="45"/>
      <c r="G99" s="45"/>
      <c r="H99" s="45"/>
    </row>
    <row r="100" spans="2:8" x14ac:dyDescent="0.3">
      <c r="B100" s="45"/>
      <c r="C100" s="46"/>
      <c r="D100" s="47"/>
      <c r="E100" s="47"/>
      <c r="F100" s="45"/>
      <c r="G100" s="45"/>
      <c r="H100" s="45"/>
    </row>
    <row r="101" spans="2:8" x14ac:dyDescent="0.3">
      <c r="B101" s="45"/>
      <c r="C101" s="46"/>
      <c r="D101" s="47"/>
      <c r="E101" s="47"/>
      <c r="F101" s="45"/>
      <c r="G101" s="45"/>
      <c r="H101" s="45"/>
    </row>
    <row r="102" spans="2:8" x14ac:dyDescent="0.3">
      <c r="B102" s="45"/>
      <c r="C102" s="46"/>
      <c r="D102" s="47"/>
      <c r="E102" s="47"/>
      <c r="F102" s="45"/>
      <c r="G102" s="45"/>
      <c r="H102" s="45"/>
    </row>
    <row r="103" spans="2:8" x14ac:dyDescent="0.3">
      <c r="B103" s="45"/>
      <c r="C103" s="46"/>
      <c r="D103" s="47"/>
      <c r="E103" s="47"/>
      <c r="F103" s="45"/>
      <c r="G103" s="45"/>
      <c r="H103" s="45"/>
    </row>
    <row r="104" spans="2:8" x14ac:dyDescent="0.3">
      <c r="B104" s="45"/>
      <c r="C104" s="46"/>
      <c r="D104" s="47"/>
      <c r="E104" s="47"/>
      <c r="F104" s="45"/>
      <c r="G104" s="45"/>
      <c r="H104" s="45"/>
    </row>
    <row r="105" spans="2:8" x14ac:dyDescent="0.3">
      <c r="B105" s="45"/>
      <c r="C105" s="46"/>
      <c r="D105" s="47"/>
      <c r="E105" s="47"/>
      <c r="F105" s="45"/>
      <c r="G105" s="45"/>
      <c r="H105" s="45"/>
    </row>
    <row r="106" spans="2:8" x14ac:dyDescent="0.3">
      <c r="B106" s="45"/>
      <c r="C106" s="46"/>
      <c r="D106" s="47"/>
      <c r="E106" s="47"/>
      <c r="F106" s="45"/>
      <c r="G106" s="45"/>
      <c r="H106" s="45"/>
    </row>
    <row r="107" spans="2:8" x14ac:dyDescent="0.3">
      <c r="B107" s="45"/>
      <c r="C107" s="46"/>
      <c r="D107" s="47"/>
      <c r="E107" s="47"/>
      <c r="F107" s="45"/>
      <c r="G107" s="45"/>
      <c r="H107" s="45"/>
    </row>
    <row r="108" spans="2:8" x14ac:dyDescent="0.3">
      <c r="B108" s="45"/>
      <c r="C108" s="46"/>
      <c r="D108" s="47"/>
      <c r="E108" s="47"/>
    </row>
  </sheetData>
  <sheetProtection insertRows="0" deleteRows="0" selectLockedCells="1"/>
  <protectedRanges>
    <protectedRange algorithmName="SHA-512" hashValue="dpIIogccmEy50jY/wvjkYe97MS6dPMPuImR7aZbhcYAVwvEaquAPKHok8FIHLi95rj4hZB5HEdMlbUf0A0/POw==" saltValue="QH4HAZzA9Zih6HRZXvx5NQ==" spinCount="100000" sqref="A45:D59 A6:D35" name="Range1"/>
  </protectedRanges>
  <mergeCells count="2">
    <mergeCell ref="C60:D60"/>
    <mergeCell ref="A1:E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E114F-7B62-486D-81F5-BB555D35E5D0}">
  <sheetPr codeName="Sheet6"/>
  <dimension ref="A1:J84"/>
  <sheetViews>
    <sheetView workbookViewId="0">
      <pane ySplit="5" topLeftCell="A6" activePane="bottomLeft" state="frozen"/>
      <selection pane="bottomLeft" activeCell="J24" sqref="J24"/>
    </sheetView>
  </sheetViews>
  <sheetFormatPr defaultRowHeight="14.4" x14ac:dyDescent="0.3"/>
  <cols>
    <col min="1" max="1" width="8.44140625" style="91" customWidth="1"/>
    <col min="2" max="2" width="36" style="44" customWidth="1"/>
    <col min="3" max="3" width="21.77734375" style="44" customWidth="1"/>
    <col min="4" max="4" width="26.77734375" style="44" customWidth="1"/>
    <col min="5" max="5" width="9.33203125" style="48" customWidth="1"/>
    <col min="6" max="6" width="17.77734375" style="49" customWidth="1"/>
    <col min="7" max="7" width="18.6640625" style="49" customWidth="1"/>
    <col min="8" max="8" width="17.88671875" style="44" customWidth="1"/>
    <col min="9" max="16384" width="8.88671875" style="44"/>
  </cols>
  <sheetData>
    <row r="1" spans="1:10" ht="14.4" customHeight="1" x14ac:dyDescent="0.3">
      <c r="A1" s="144" t="s">
        <v>61</v>
      </c>
      <c r="B1" s="144"/>
      <c r="C1" s="144"/>
      <c r="D1" s="144"/>
      <c r="E1" s="144"/>
      <c r="F1" s="144"/>
      <c r="G1" s="144"/>
      <c r="H1" s="45"/>
      <c r="I1" s="45"/>
      <c r="J1" s="45"/>
    </row>
    <row r="2" spans="1:10" ht="14.4" customHeight="1" x14ac:dyDescent="0.3">
      <c r="A2" s="144"/>
      <c r="B2" s="144"/>
      <c r="C2" s="144"/>
      <c r="D2" s="144"/>
      <c r="E2" s="144"/>
      <c r="F2" s="144"/>
      <c r="G2" s="144"/>
      <c r="H2" s="45"/>
      <c r="I2" s="45"/>
      <c r="J2" s="45"/>
    </row>
    <row r="3" spans="1:10" x14ac:dyDescent="0.3">
      <c r="A3" s="144"/>
      <c r="B3" s="144"/>
      <c r="C3" s="144"/>
      <c r="D3" s="144"/>
      <c r="E3" s="144"/>
      <c r="F3" s="144"/>
      <c r="G3" s="144"/>
      <c r="H3" s="45"/>
      <c r="I3" s="45"/>
      <c r="J3" s="45"/>
    </row>
    <row r="4" spans="1:10" x14ac:dyDescent="0.3">
      <c r="B4" s="45"/>
      <c r="C4" s="45"/>
      <c r="D4" s="45"/>
      <c r="E4" s="46"/>
      <c r="F4" s="47"/>
      <c r="G4" s="47"/>
      <c r="H4" s="45"/>
      <c r="I4" s="45"/>
      <c r="J4" s="45"/>
    </row>
    <row r="5" spans="1:10" ht="18" thickBot="1" x14ac:dyDescent="0.5">
      <c r="A5" s="129" t="s">
        <v>31</v>
      </c>
      <c r="B5" s="129" t="s">
        <v>37</v>
      </c>
      <c r="C5" s="124" t="s">
        <v>38</v>
      </c>
      <c r="D5" s="124" t="s">
        <v>39</v>
      </c>
      <c r="E5" s="125" t="s">
        <v>40</v>
      </c>
      <c r="F5" s="126" t="s">
        <v>41</v>
      </c>
      <c r="G5" s="127" t="s">
        <v>42</v>
      </c>
      <c r="H5" s="45"/>
      <c r="I5" s="45"/>
      <c r="J5" s="45"/>
    </row>
    <row r="6" spans="1:10" ht="15.6" x14ac:dyDescent="0.3">
      <c r="A6" s="186">
        <v>1</v>
      </c>
      <c r="B6" s="187"/>
      <c r="C6" s="187"/>
      <c r="D6" s="187"/>
      <c r="E6" s="188"/>
      <c r="F6" s="189"/>
      <c r="G6" s="190">
        <f>E6*F6</f>
        <v>0</v>
      </c>
      <c r="H6" s="45"/>
      <c r="I6" s="45"/>
      <c r="J6" s="45"/>
    </row>
    <row r="7" spans="1:10" ht="15.6" x14ac:dyDescent="0.3">
      <c r="A7" s="137">
        <v>2</v>
      </c>
      <c r="B7" s="123"/>
      <c r="C7" s="123"/>
      <c r="D7" s="123"/>
      <c r="E7" s="115"/>
      <c r="F7" s="88"/>
      <c r="G7" s="119">
        <f t="shared" ref="G7:G20" si="0">E7*F7</f>
        <v>0</v>
      </c>
      <c r="H7" s="45"/>
      <c r="I7" s="45"/>
      <c r="J7" s="45"/>
    </row>
    <row r="8" spans="1:10" ht="15.6" x14ac:dyDescent="0.3">
      <c r="A8" s="191">
        <v>3</v>
      </c>
      <c r="B8" s="184"/>
      <c r="C8" s="184"/>
      <c r="D8" s="184"/>
      <c r="E8" s="178"/>
      <c r="F8" s="179"/>
      <c r="G8" s="192">
        <f t="shared" si="0"/>
        <v>0</v>
      </c>
      <c r="H8" s="45"/>
      <c r="I8" s="45"/>
      <c r="J8" s="45"/>
    </row>
    <row r="9" spans="1:10" ht="15.6" x14ac:dyDescent="0.3">
      <c r="A9" s="137">
        <v>4</v>
      </c>
      <c r="B9" s="123"/>
      <c r="C9" s="123"/>
      <c r="D9" s="123"/>
      <c r="E9" s="115"/>
      <c r="F9" s="88"/>
      <c r="G9" s="119">
        <f t="shared" si="0"/>
        <v>0</v>
      </c>
      <c r="H9" s="45"/>
      <c r="I9" s="45"/>
      <c r="J9" s="45"/>
    </row>
    <row r="10" spans="1:10" ht="15.6" x14ac:dyDescent="0.3">
      <c r="A10" s="191">
        <v>5</v>
      </c>
      <c r="B10" s="184"/>
      <c r="C10" s="184"/>
      <c r="D10" s="184"/>
      <c r="E10" s="178"/>
      <c r="F10" s="179"/>
      <c r="G10" s="192">
        <f t="shared" si="0"/>
        <v>0</v>
      </c>
      <c r="H10" s="45"/>
      <c r="I10" s="45"/>
      <c r="J10" s="45"/>
    </row>
    <row r="11" spans="1:10" ht="15.6" x14ac:dyDescent="0.3">
      <c r="A11" s="137">
        <v>6</v>
      </c>
      <c r="B11" s="123"/>
      <c r="C11" s="123"/>
      <c r="D11" s="123"/>
      <c r="E11" s="115"/>
      <c r="F11" s="88"/>
      <c r="G11" s="119">
        <f t="shared" si="0"/>
        <v>0</v>
      </c>
      <c r="H11" s="45"/>
      <c r="I11" s="45"/>
      <c r="J11" s="45"/>
    </row>
    <row r="12" spans="1:10" ht="15.6" x14ac:dyDescent="0.3">
      <c r="A12" s="191">
        <v>7</v>
      </c>
      <c r="B12" s="184"/>
      <c r="C12" s="184"/>
      <c r="D12" s="184"/>
      <c r="E12" s="178"/>
      <c r="F12" s="179"/>
      <c r="G12" s="192">
        <f t="shared" si="0"/>
        <v>0</v>
      </c>
      <c r="H12" s="45"/>
      <c r="I12" s="45"/>
      <c r="J12" s="45"/>
    </row>
    <row r="13" spans="1:10" ht="15.6" x14ac:dyDescent="0.3">
      <c r="A13" s="137">
        <v>8</v>
      </c>
      <c r="B13" s="123"/>
      <c r="C13" s="123"/>
      <c r="D13" s="123"/>
      <c r="E13" s="115"/>
      <c r="F13" s="88"/>
      <c r="G13" s="119">
        <f t="shared" si="0"/>
        <v>0</v>
      </c>
      <c r="H13" s="45"/>
      <c r="I13" s="45"/>
      <c r="J13" s="45"/>
    </row>
    <row r="14" spans="1:10" ht="15.6" x14ac:dyDescent="0.3">
      <c r="A14" s="191">
        <v>9</v>
      </c>
      <c r="B14" s="184"/>
      <c r="C14" s="184"/>
      <c r="D14" s="184"/>
      <c r="E14" s="178"/>
      <c r="F14" s="179"/>
      <c r="G14" s="192">
        <f t="shared" si="0"/>
        <v>0</v>
      </c>
      <c r="H14" s="45"/>
      <c r="I14" s="45"/>
      <c r="J14" s="45"/>
    </row>
    <row r="15" spans="1:10" ht="15.6" x14ac:dyDescent="0.3">
      <c r="A15" s="137">
        <v>10</v>
      </c>
      <c r="B15" s="123"/>
      <c r="C15" s="123"/>
      <c r="D15" s="123"/>
      <c r="E15" s="115"/>
      <c r="F15" s="88"/>
      <c r="G15" s="119">
        <f t="shared" si="0"/>
        <v>0</v>
      </c>
      <c r="H15" s="45"/>
      <c r="I15" s="45"/>
      <c r="J15" s="45"/>
    </row>
    <row r="16" spans="1:10" ht="15.6" x14ac:dyDescent="0.3">
      <c r="A16" s="191">
        <v>11</v>
      </c>
      <c r="B16" s="184"/>
      <c r="C16" s="184"/>
      <c r="D16" s="184"/>
      <c r="E16" s="178"/>
      <c r="F16" s="179"/>
      <c r="G16" s="192">
        <f t="shared" si="0"/>
        <v>0</v>
      </c>
      <c r="H16" s="45"/>
      <c r="I16" s="45"/>
      <c r="J16" s="45"/>
    </row>
    <row r="17" spans="1:10" ht="15.6" x14ac:dyDescent="0.3">
      <c r="A17" s="137">
        <v>12</v>
      </c>
      <c r="B17" s="123"/>
      <c r="C17" s="123"/>
      <c r="D17" s="123"/>
      <c r="E17" s="115"/>
      <c r="F17" s="88"/>
      <c r="G17" s="119">
        <f t="shared" si="0"/>
        <v>0</v>
      </c>
      <c r="H17" s="45"/>
      <c r="I17" s="45"/>
      <c r="J17" s="45"/>
    </row>
    <row r="18" spans="1:10" ht="15.6" x14ac:dyDescent="0.3">
      <c r="A18" s="191">
        <v>13</v>
      </c>
      <c r="B18" s="184"/>
      <c r="C18" s="184"/>
      <c r="D18" s="184"/>
      <c r="E18" s="178"/>
      <c r="F18" s="179"/>
      <c r="G18" s="192">
        <f t="shared" si="0"/>
        <v>0</v>
      </c>
      <c r="H18" s="45"/>
      <c r="I18" s="45"/>
      <c r="J18" s="45"/>
    </row>
    <row r="19" spans="1:10" ht="15.6" x14ac:dyDescent="0.3">
      <c r="A19" s="137">
        <v>14</v>
      </c>
      <c r="B19" s="123"/>
      <c r="C19" s="123"/>
      <c r="D19" s="123"/>
      <c r="E19" s="115"/>
      <c r="F19" s="88"/>
      <c r="G19" s="119">
        <f t="shared" si="0"/>
        <v>0</v>
      </c>
      <c r="H19" s="45"/>
      <c r="I19" s="45"/>
      <c r="J19" s="45"/>
    </row>
    <row r="20" spans="1:10" ht="15.6" x14ac:dyDescent="0.3">
      <c r="A20" s="191">
        <v>15</v>
      </c>
      <c r="B20" s="184"/>
      <c r="C20" s="184"/>
      <c r="D20" s="184"/>
      <c r="E20" s="178"/>
      <c r="F20" s="179"/>
      <c r="G20" s="192">
        <f t="shared" si="0"/>
        <v>0</v>
      </c>
      <c r="H20" s="45"/>
      <c r="I20" s="45"/>
      <c r="J20" s="45"/>
    </row>
    <row r="21" spans="1:10" ht="15.6" x14ac:dyDescent="0.3">
      <c r="A21" s="137">
        <v>16</v>
      </c>
      <c r="B21" s="123"/>
      <c r="C21" s="123"/>
      <c r="D21" s="123"/>
      <c r="E21" s="115"/>
      <c r="F21" s="88"/>
      <c r="G21" s="119">
        <f t="shared" ref="G21:G34" si="1">E21*F21</f>
        <v>0</v>
      </c>
      <c r="H21" s="45"/>
      <c r="I21" s="45"/>
      <c r="J21" s="45"/>
    </row>
    <row r="22" spans="1:10" ht="15.6" x14ac:dyDescent="0.3">
      <c r="A22" s="191">
        <v>17</v>
      </c>
      <c r="B22" s="184"/>
      <c r="C22" s="184"/>
      <c r="D22" s="184"/>
      <c r="E22" s="178"/>
      <c r="F22" s="179"/>
      <c r="G22" s="192">
        <f t="shared" si="1"/>
        <v>0</v>
      </c>
      <c r="H22" s="45"/>
      <c r="I22" s="45"/>
      <c r="J22" s="45"/>
    </row>
    <row r="23" spans="1:10" ht="15.6" x14ac:dyDescent="0.3">
      <c r="A23" s="137">
        <v>18</v>
      </c>
      <c r="B23" s="123"/>
      <c r="C23" s="123"/>
      <c r="D23" s="123"/>
      <c r="E23" s="115"/>
      <c r="F23" s="88"/>
      <c r="G23" s="119">
        <f t="shared" si="1"/>
        <v>0</v>
      </c>
      <c r="H23" s="45"/>
      <c r="I23" s="45"/>
      <c r="J23" s="45"/>
    </row>
    <row r="24" spans="1:10" ht="15.6" x14ac:dyDescent="0.3">
      <c r="A24" s="191">
        <v>19</v>
      </c>
      <c r="B24" s="184"/>
      <c r="C24" s="184"/>
      <c r="D24" s="184"/>
      <c r="E24" s="178"/>
      <c r="F24" s="179"/>
      <c r="G24" s="192">
        <f t="shared" si="1"/>
        <v>0</v>
      </c>
      <c r="H24" s="45"/>
      <c r="I24" s="45"/>
      <c r="J24" s="45"/>
    </row>
    <row r="25" spans="1:10" ht="15.6" x14ac:dyDescent="0.3">
      <c r="A25" s="137">
        <v>20</v>
      </c>
      <c r="B25" s="123"/>
      <c r="C25" s="123"/>
      <c r="D25" s="123"/>
      <c r="E25" s="115"/>
      <c r="F25" s="88"/>
      <c r="G25" s="119">
        <f t="shared" si="1"/>
        <v>0</v>
      </c>
      <c r="H25" s="45"/>
      <c r="I25" s="45"/>
      <c r="J25" s="45"/>
    </row>
    <row r="26" spans="1:10" ht="15.6" x14ac:dyDescent="0.3">
      <c r="A26" s="191">
        <v>21</v>
      </c>
      <c r="B26" s="184"/>
      <c r="C26" s="184"/>
      <c r="D26" s="184"/>
      <c r="E26" s="178"/>
      <c r="F26" s="179"/>
      <c r="G26" s="192">
        <f t="shared" si="1"/>
        <v>0</v>
      </c>
      <c r="H26" s="45"/>
      <c r="I26" s="45"/>
      <c r="J26" s="45"/>
    </row>
    <row r="27" spans="1:10" ht="15.6" x14ac:dyDescent="0.3">
      <c r="A27" s="137">
        <v>22</v>
      </c>
      <c r="B27" s="123"/>
      <c r="C27" s="123"/>
      <c r="D27" s="123"/>
      <c r="E27" s="115"/>
      <c r="F27" s="88"/>
      <c r="G27" s="119">
        <f t="shared" si="1"/>
        <v>0</v>
      </c>
      <c r="H27" s="45"/>
      <c r="I27" s="45"/>
      <c r="J27" s="45"/>
    </row>
    <row r="28" spans="1:10" ht="15.6" x14ac:dyDescent="0.3">
      <c r="A28" s="191">
        <v>23</v>
      </c>
      <c r="B28" s="184"/>
      <c r="C28" s="184"/>
      <c r="D28" s="184"/>
      <c r="E28" s="178"/>
      <c r="F28" s="179"/>
      <c r="G28" s="192">
        <f t="shared" si="1"/>
        <v>0</v>
      </c>
      <c r="H28" s="45"/>
      <c r="I28" s="45"/>
      <c r="J28" s="45"/>
    </row>
    <row r="29" spans="1:10" ht="15.6" x14ac:dyDescent="0.3">
      <c r="A29" s="137">
        <v>24</v>
      </c>
      <c r="B29" s="123"/>
      <c r="C29" s="123"/>
      <c r="D29" s="123"/>
      <c r="E29" s="115"/>
      <c r="F29" s="88"/>
      <c r="G29" s="119">
        <f t="shared" si="1"/>
        <v>0</v>
      </c>
      <c r="H29" s="45"/>
      <c r="I29" s="45"/>
      <c r="J29" s="45"/>
    </row>
    <row r="30" spans="1:10" ht="15.6" x14ac:dyDescent="0.3">
      <c r="A30" s="191">
        <v>25</v>
      </c>
      <c r="B30" s="184"/>
      <c r="C30" s="184"/>
      <c r="D30" s="184"/>
      <c r="E30" s="178"/>
      <c r="F30" s="179"/>
      <c r="G30" s="192">
        <f t="shared" si="1"/>
        <v>0</v>
      </c>
      <c r="H30" s="45"/>
      <c r="I30" s="45"/>
      <c r="J30" s="45"/>
    </row>
    <row r="31" spans="1:10" ht="15.6" x14ac:dyDescent="0.3">
      <c r="A31" s="137">
        <v>26</v>
      </c>
      <c r="B31" s="123"/>
      <c r="C31" s="123"/>
      <c r="D31" s="123"/>
      <c r="E31" s="115"/>
      <c r="F31" s="88"/>
      <c r="G31" s="119">
        <f t="shared" si="1"/>
        <v>0</v>
      </c>
      <c r="H31" s="45"/>
      <c r="I31" s="45"/>
      <c r="J31" s="45"/>
    </row>
    <row r="32" spans="1:10" ht="15.6" x14ac:dyDescent="0.3">
      <c r="A32" s="191">
        <v>27</v>
      </c>
      <c r="B32" s="184"/>
      <c r="C32" s="184"/>
      <c r="D32" s="184"/>
      <c r="E32" s="178"/>
      <c r="F32" s="179"/>
      <c r="G32" s="192">
        <f t="shared" si="1"/>
        <v>0</v>
      </c>
      <c r="H32" s="45"/>
      <c r="I32" s="45"/>
      <c r="J32" s="45"/>
    </row>
    <row r="33" spans="1:10" ht="15.6" x14ac:dyDescent="0.3">
      <c r="A33" s="137">
        <v>28</v>
      </c>
      <c r="B33" s="123"/>
      <c r="C33" s="123"/>
      <c r="D33" s="123"/>
      <c r="E33" s="115"/>
      <c r="F33" s="88"/>
      <c r="G33" s="119">
        <f t="shared" si="1"/>
        <v>0</v>
      </c>
      <c r="H33" s="45"/>
      <c r="I33" s="45"/>
      <c r="J33" s="45"/>
    </row>
    <row r="34" spans="1:10" ht="15.6" x14ac:dyDescent="0.3">
      <c r="A34" s="191">
        <v>29</v>
      </c>
      <c r="B34" s="184"/>
      <c r="C34" s="184"/>
      <c r="D34" s="184"/>
      <c r="E34" s="178"/>
      <c r="F34" s="179"/>
      <c r="G34" s="192">
        <f t="shared" si="1"/>
        <v>0</v>
      </c>
      <c r="H34" s="45"/>
      <c r="I34" s="45"/>
      <c r="J34" s="45"/>
    </row>
    <row r="35" spans="1:10" ht="15.6" x14ac:dyDescent="0.3">
      <c r="A35" s="137">
        <v>30</v>
      </c>
      <c r="B35" s="123"/>
      <c r="C35" s="123"/>
      <c r="D35" s="123"/>
      <c r="E35" s="115"/>
      <c r="F35" s="88"/>
      <c r="G35" s="119">
        <f t="shared" ref="G35" si="2">E35*F35</f>
        <v>0</v>
      </c>
      <c r="H35" s="45"/>
      <c r="I35" s="45"/>
      <c r="J35" s="45"/>
    </row>
    <row r="36" spans="1:10" ht="15.6" x14ac:dyDescent="0.3">
      <c r="A36" s="138"/>
      <c r="B36" s="139"/>
      <c r="C36" s="139"/>
      <c r="D36" s="139"/>
      <c r="E36" s="140" t="s">
        <v>24</v>
      </c>
      <c r="F36" s="140"/>
      <c r="G36" s="141">
        <f>SUM(G6:G35)</f>
        <v>0</v>
      </c>
      <c r="H36" s="45"/>
      <c r="I36" s="45"/>
      <c r="J36" s="45"/>
    </row>
    <row r="37" spans="1:10" x14ac:dyDescent="0.3">
      <c r="B37" s="45"/>
      <c r="C37" s="45"/>
      <c r="D37" s="45"/>
      <c r="E37" s="46"/>
      <c r="F37" s="47"/>
      <c r="G37" s="47"/>
      <c r="H37" s="45"/>
      <c r="I37" s="45"/>
      <c r="J37" s="45"/>
    </row>
    <row r="38" spans="1:10" x14ac:dyDescent="0.3">
      <c r="B38" s="45"/>
      <c r="C38" s="45"/>
      <c r="D38" s="45"/>
      <c r="E38" s="46"/>
      <c r="F38" s="47"/>
      <c r="G38" s="47"/>
      <c r="H38" s="45"/>
      <c r="I38" s="45"/>
      <c r="J38" s="45"/>
    </row>
    <row r="39" spans="1:10" x14ac:dyDescent="0.3">
      <c r="B39" s="45"/>
      <c r="C39" s="45"/>
      <c r="D39" s="45"/>
      <c r="E39" s="46"/>
      <c r="F39" s="47"/>
      <c r="G39" s="47"/>
      <c r="H39" s="45"/>
      <c r="I39" s="45"/>
      <c r="J39" s="45"/>
    </row>
    <row r="40" spans="1:10" x14ac:dyDescent="0.3">
      <c r="B40" s="45"/>
      <c r="C40" s="45"/>
      <c r="D40" s="45"/>
      <c r="E40" s="46"/>
      <c r="F40" s="47"/>
      <c r="G40" s="47"/>
      <c r="H40" s="45"/>
      <c r="I40" s="45"/>
      <c r="J40" s="45"/>
    </row>
    <row r="41" spans="1:10" x14ac:dyDescent="0.3">
      <c r="B41" s="45"/>
      <c r="C41" s="45"/>
      <c r="D41" s="45"/>
      <c r="E41" s="46"/>
      <c r="F41" s="47"/>
      <c r="G41" s="47"/>
      <c r="H41" s="45"/>
      <c r="I41" s="45"/>
      <c r="J41" s="45"/>
    </row>
    <row r="42" spans="1:10" x14ac:dyDescent="0.3">
      <c r="B42" s="45"/>
      <c r="C42" s="45"/>
      <c r="D42" s="45"/>
      <c r="E42" s="46"/>
      <c r="F42" s="47"/>
      <c r="G42" s="47"/>
      <c r="H42" s="45"/>
      <c r="I42" s="45"/>
      <c r="J42" s="45"/>
    </row>
    <row r="43" spans="1:10" x14ac:dyDescent="0.3">
      <c r="B43" s="45"/>
      <c r="C43" s="45"/>
      <c r="D43" s="45"/>
      <c r="E43" s="46"/>
      <c r="F43" s="47"/>
      <c r="G43" s="47"/>
      <c r="H43" s="45"/>
      <c r="I43" s="45"/>
      <c r="J43" s="45"/>
    </row>
    <row r="44" spans="1:10" x14ac:dyDescent="0.3">
      <c r="B44" s="45"/>
      <c r="C44" s="45"/>
      <c r="D44" s="45"/>
      <c r="E44" s="46"/>
      <c r="F44" s="47"/>
      <c r="G44" s="47"/>
      <c r="H44" s="45"/>
      <c r="I44" s="45"/>
      <c r="J44" s="45"/>
    </row>
    <row r="45" spans="1:10" x14ac:dyDescent="0.3">
      <c r="B45" s="45"/>
      <c r="C45" s="45"/>
      <c r="D45" s="45"/>
      <c r="E45" s="46"/>
      <c r="F45" s="47"/>
      <c r="G45" s="47"/>
      <c r="H45" s="45"/>
      <c r="I45" s="45"/>
      <c r="J45" s="45"/>
    </row>
    <row r="46" spans="1:10" x14ac:dyDescent="0.3">
      <c r="B46" s="45"/>
      <c r="C46" s="45"/>
      <c r="D46" s="45"/>
      <c r="E46" s="46"/>
      <c r="F46" s="47"/>
      <c r="G46" s="47"/>
      <c r="H46" s="45"/>
      <c r="I46" s="45"/>
      <c r="J46" s="45"/>
    </row>
    <row r="47" spans="1:10" x14ac:dyDescent="0.3">
      <c r="B47" s="45"/>
      <c r="C47" s="45"/>
      <c r="D47" s="45"/>
      <c r="E47" s="46"/>
      <c r="F47" s="47"/>
      <c r="G47" s="47"/>
      <c r="H47" s="45"/>
      <c r="I47" s="45"/>
      <c r="J47" s="45"/>
    </row>
    <row r="48" spans="1:10" x14ac:dyDescent="0.3">
      <c r="B48" s="45"/>
      <c r="C48" s="45"/>
      <c r="D48" s="45"/>
      <c r="E48" s="46"/>
      <c r="F48" s="47"/>
      <c r="G48" s="47"/>
      <c r="H48" s="45"/>
      <c r="I48" s="45"/>
      <c r="J48" s="45"/>
    </row>
    <row r="49" spans="2:10" x14ac:dyDescent="0.3">
      <c r="B49" s="45"/>
      <c r="C49" s="45"/>
      <c r="D49" s="45"/>
      <c r="E49" s="46"/>
      <c r="F49" s="47"/>
      <c r="G49" s="47"/>
      <c r="H49" s="45"/>
      <c r="I49" s="45"/>
      <c r="J49" s="45"/>
    </row>
    <row r="50" spans="2:10" x14ac:dyDescent="0.3">
      <c r="B50" s="45"/>
      <c r="C50" s="45"/>
      <c r="D50" s="45"/>
      <c r="E50" s="46"/>
      <c r="F50" s="47"/>
      <c r="G50" s="47"/>
      <c r="H50" s="45"/>
      <c r="I50" s="45"/>
      <c r="J50" s="45"/>
    </row>
    <row r="51" spans="2:10" x14ac:dyDescent="0.3">
      <c r="B51" s="45"/>
      <c r="C51" s="45"/>
      <c r="D51" s="45"/>
      <c r="E51" s="46"/>
      <c r="F51" s="47"/>
      <c r="G51" s="47"/>
      <c r="H51" s="45"/>
      <c r="I51" s="45"/>
      <c r="J51" s="45"/>
    </row>
    <row r="52" spans="2:10" x14ac:dyDescent="0.3">
      <c r="B52" s="45"/>
      <c r="C52" s="45"/>
      <c r="D52" s="45"/>
      <c r="E52" s="46"/>
      <c r="F52" s="47"/>
      <c r="G52" s="47"/>
      <c r="H52" s="45"/>
      <c r="I52" s="45"/>
      <c r="J52" s="45"/>
    </row>
    <row r="53" spans="2:10" x14ac:dyDescent="0.3">
      <c r="B53" s="45"/>
      <c r="C53" s="45"/>
      <c r="D53" s="45"/>
      <c r="E53" s="46"/>
      <c r="F53" s="47"/>
      <c r="G53" s="47"/>
      <c r="H53" s="45"/>
      <c r="I53" s="45"/>
      <c r="J53" s="45"/>
    </row>
    <row r="54" spans="2:10" x14ac:dyDescent="0.3">
      <c r="B54" s="45"/>
      <c r="C54" s="45"/>
      <c r="D54" s="45"/>
      <c r="E54" s="46"/>
      <c r="F54" s="47"/>
      <c r="G54" s="47"/>
      <c r="H54" s="45"/>
      <c r="I54" s="45"/>
      <c r="J54" s="45"/>
    </row>
    <row r="55" spans="2:10" x14ac:dyDescent="0.3">
      <c r="B55" s="45"/>
      <c r="C55" s="45"/>
      <c r="D55" s="45"/>
      <c r="E55" s="46"/>
      <c r="F55" s="47"/>
      <c r="G55" s="47"/>
      <c r="H55" s="45"/>
      <c r="I55" s="45"/>
      <c r="J55" s="45"/>
    </row>
    <row r="56" spans="2:10" x14ac:dyDescent="0.3">
      <c r="B56" s="45"/>
      <c r="C56" s="45"/>
      <c r="D56" s="45"/>
      <c r="E56" s="46"/>
      <c r="F56" s="47"/>
      <c r="G56" s="47"/>
      <c r="H56" s="45"/>
      <c r="I56" s="45"/>
      <c r="J56" s="45"/>
    </row>
    <row r="57" spans="2:10" x14ac:dyDescent="0.3">
      <c r="B57" s="45"/>
      <c r="C57" s="45"/>
      <c r="D57" s="45"/>
      <c r="E57" s="46"/>
      <c r="F57" s="47"/>
      <c r="G57" s="47"/>
      <c r="H57" s="45"/>
      <c r="I57" s="45"/>
      <c r="J57" s="45"/>
    </row>
    <row r="58" spans="2:10" x14ac:dyDescent="0.3">
      <c r="B58" s="45"/>
      <c r="C58" s="45"/>
      <c r="D58" s="45"/>
      <c r="E58" s="46"/>
      <c r="F58" s="47"/>
      <c r="G58" s="47"/>
      <c r="H58" s="45"/>
      <c r="I58" s="45"/>
      <c r="J58" s="45"/>
    </row>
    <row r="59" spans="2:10" x14ac:dyDescent="0.3">
      <c r="B59" s="45"/>
      <c r="C59" s="45"/>
      <c r="D59" s="45"/>
      <c r="E59" s="46"/>
      <c r="F59" s="47"/>
      <c r="G59" s="47"/>
      <c r="H59" s="45"/>
      <c r="I59" s="45"/>
      <c r="J59" s="45"/>
    </row>
    <row r="60" spans="2:10" x14ac:dyDescent="0.3">
      <c r="B60" s="45"/>
      <c r="C60" s="45"/>
      <c r="D60" s="45"/>
      <c r="E60" s="46"/>
      <c r="F60" s="47"/>
      <c r="G60" s="47"/>
      <c r="H60" s="45"/>
      <c r="I60" s="45"/>
      <c r="J60" s="45"/>
    </row>
    <row r="61" spans="2:10" x14ac:dyDescent="0.3">
      <c r="B61" s="45"/>
      <c r="C61" s="45"/>
      <c r="D61" s="45"/>
      <c r="E61" s="46"/>
      <c r="F61" s="47"/>
      <c r="G61" s="47"/>
      <c r="H61" s="45"/>
      <c r="I61" s="45"/>
      <c r="J61" s="45"/>
    </row>
    <row r="62" spans="2:10" x14ac:dyDescent="0.3">
      <c r="B62" s="45"/>
      <c r="C62" s="45"/>
      <c r="D62" s="45"/>
      <c r="E62" s="46"/>
      <c r="F62" s="47"/>
      <c r="G62" s="47"/>
      <c r="H62" s="45"/>
      <c r="I62" s="45"/>
      <c r="J62" s="45"/>
    </row>
    <row r="63" spans="2:10" x14ac:dyDescent="0.3">
      <c r="B63" s="45"/>
      <c r="C63" s="45"/>
      <c r="D63" s="45"/>
      <c r="E63" s="46"/>
      <c r="F63" s="47"/>
      <c r="G63" s="47"/>
      <c r="H63" s="45"/>
      <c r="I63" s="45"/>
      <c r="J63" s="45"/>
    </row>
    <row r="64" spans="2:10" x14ac:dyDescent="0.3">
      <c r="B64" s="45"/>
      <c r="C64" s="45"/>
      <c r="D64" s="45"/>
      <c r="E64" s="46"/>
      <c r="F64" s="47"/>
      <c r="G64" s="47"/>
      <c r="H64" s="45"/>
      <c r="I64" s="45"/>
      <c r="J64" s="45"/>
    </row>
    <row r="65" spans="2:10" x14ac:dyDescent="0.3">
      <c r="B65" s="45"/>
      <c r="C65" s="45"/>
      <c r="D65" s="45"/>
      <c r="E65" s="46"/>
      <c r="F65" s="47"/>
      <c r="G65" s="47"/>
      <c r="H65" s="45"/>
      <c r="I65" s="45"/>
      <c r="J65" s="45"/>
    </row>
    <row r="66" spans="2:10" x14ac:dyDescent="0.3">
      <c r="B66" s="45"/>
      <c r="C66" s="45"/>
      <c r="D66" s="45"/>
      <c r="E66" s="46"/>
      <c r="F66" s="47"/>
      <c r="G66" s="47"/>
      <c r="H66" s="45"/>
      <c r="I66" s="45"/>
      <c r="J66" s="45"/>
    </row>
    <row r="67" spans="2:10" x14ac:dyDescent="0.3">
      <c r="B67" s="45"/>
      <c r="C67" s="45"/>
      <c r="D67" s="45"/>
      <c r="E67" s="46"/>
      <c r="F67" s="47"/>
      <c r="G67" s="47"/>
      <c r="H67" s="45"/>
      <c r="I67" s="45"/>
      <c r="J67" s="45"/>
    </row>
    <row r="68" spans="2:10" x14ac:dyDescent="0.3">
      <c r="B68" s="45"/>
      <c r="C68" s="45"/>
      <c r="D68" s="45"/>
      <c r="E68" s="46"/>
      <c r="F68" s="47"/>
      <c r="G68" s="47"/>
      <c r="H68" s="45"/>
      <c r="I68" s="45"/>
      <c r="J68" s="45"/>
    </row>
    <row r="69" spans="2:10" x14ac:dyDescent="0.3">
      <c r="B69" s="45"/>
      <c r="C69" s="45"/>
      <c r="D69" s="45"/>
      <c r="E69" s="46"/>
      <c r="F69" s="47"/>
      <c r="G69" s="47"/>
      <c r="H69" s="45"/>
      <c r="I69" s="45"/>
      <c r="J69" s="45"/>
    </row>
    <row r="70" spans="2:10" x14ac:dyDescent="0.3">
      <c r="B70" s="45"/>
      <c r="C70" s="45"/>
      <c r="D70" s="45"/>
      <c r="E70" s="46"/>
      <c r="F70" s="47"/>
      <c r="G70" s="47"/>
      <c r="H70" s="45"/>
      <c r="I70" s="45"/>
      <c r="J70" s="45"/>
    </row>
    <row r="71" spans="2:10" x14ac:dyDescent="0.3">
      <c r="B71" s="45"/>
      <c r="C71" s="45"/>
      <c r="D71" s="45"/>
      <c r="E71" s="46"/>
      <c r="F71" s="47"/>
      <c r="G71" s="47"/>
      <c r="H71" s="45"/>
      <c r="I71" s="45"/>
      <c r="J71" s="45"/>
    </row>
    <row r="72" spans="2:10" x14ac:dyDescent="0.3">
      <c r="B72" s="45"/>
      <c r="C72" s="45"/>
      <c r="D72" s="45"/>
      <c r="E72" s="46"/>
      <c r="F72" s="47"/>
      <c r="G72" s="47"/>
      <c r="H72" s="45"/>
      <c r="I72" s="45"/>
      <c r="J72" s="45"/>
    </row>
    <row r="73" spans="2:10" x14ac:dyDescent="0.3">
      <c r="B73" s="45"/>
      <c r="C73" s="45"/>
      <c r="D73" s="45"/>
      <c r="E73" s="46"/>
      <c r="F73" s="47"/>
      <c r="G73" s="47"/>
      <c r="H73" s="45"/>
      <c r="I73" s="45"/>
      <c r="J73" s="45"/>
    </row>
    <row r="74" spans="2:10" x14ac:dyDescent="0.3">
      <c r="B74" s="45"/>
      <c r="C74" s="45"/>
      <c r="D74" s="45"/>
      <c r="E74" s="46"/>
      <c r="F74" s="47"/>
      <c r="G74" s="47"/>
      <c r="H74" s="45"/>
      <c r="I74" s="45"/>
      <c r="J74" s="45"/>
    </row>
    <row r="75" spans="2:10" x14ac:dyDescent="0.3">
      <c r="B75" s="45"/>
      <c r="C75" s="45"/>
      <c r="D75" s="45"/>
      <c r="E75" s="46"/>
      <c r="F75" s="47"/>
      <c r="G75" s="47"/>
      <c r="H75" s="45"/>
      <c r="I75" s="45"/>
      <c r="J75" s="45"/>
    </row>
    <row r="76" spans="2:10" x14ac:dyDescent="0.3">
      <c r="B76" s="45"/>
      <c r="C76" s="45"/>
      <c r="D76" s="45"/>
      <c r="E76" s="46"/>
      <c r="F76" s="47"/>
      <c r="G76" s="47"/>
      <c r="H76" s="45"/>
      <c r="I76" s="45"/>
      <c r="J76" s="45"/>
    </row>
    <row r="77" spans="2:10" x14ac:dyDescent="0.3">
      <c r="B77" s="45"/>
      <c r="C77" s="45"/>
      <c r="D77" s="45"/>
      <c r="E77" s="46"/>
      <c r="F77" s="47"/>
      <c r="G77" s="47"/>
      <c r="H77" s="45"/>
      <c r="I77" s="45"/>
      <c r="J77" s="45"/>
    </row>
    <row r="78" spans="2:10" x14ac:dyDescent="0.3">
      <c r="B78" s="45"/>
      <c r="C78" s="45"/>
      <c r="D78" s="45"/>
      <c r="E78" s="46"/>
      <c r="F78" s="47"/>
      <c r="G78" s="47"/>
      <c r="H78" s="45"/>
      <c r="I78" s="45"/>
      <c r="J78" s="45"/>
    </row>
    <row r="79" spans="2:10" x14ac:dyDescent="0.3">
      <c r="B79" s="45"/>
      <c r="C79" s="45"/>
      <c r="D79" s="45"/>
      <c r="E79" s="46"/>
      <c r="F79" s="47"/>
      <c r="G79" s="47"/>
      <c r="H79" s="45"/>
      <c r="I79" s="45"/>
      <c r="J79" s="45"/>
    </row>
    <row r="80" spans="2:10" x14ac:dyDescent="0.3">
      <c r="B80" s="45"/>
      <c r="C80" s="45"/>
      <c r="D80" s="45"/>
      <c r="E80" s="46"/>
      <c r="F80" s="47"/>
      <c r="G80" s="47"/>
      <c r="H80" s="45"/>
      <c r="I80" s="45"/>
      <c r="J80" s="45"/>
    </row>
    <row r="81" spans="2:10" x14ac:dyDescent="0.3">
      <c r="B81" s="45"/>
      <c r="C81" s="45"/>
      <c r="D81" s="45"/>
      <c r="E81" s="46"/>
      <c r="F81" s="47"/>
      <c r="G81" s="47"/>
      <c r="H81" s="45"/>
      <c r="I81" s="45"/>
      <c r="J81" s="45"/>
    </row>
    <row r="82" spans="2:10" x14ac:dyDescent="0.3">
      <c r="B82" s="45"/>
      <c r="C82" s="45"/>
      <c r="D82" s="45"/>
      <c r="E82" s="46"/>
      <c r="F82" s="47"/>
      <c r="G82" s="47"/>
      <c r="H82" s="45"/>
      <c r="I82" s="45"/>
      <c r="J82" s="45"/>
    </row>
    <row r="83" spans="2:10" x14ac:dyDescent="0.3">
      <c r="B83" s="45"/>
      <c r="C83" s="45"/>
      <c r="D83" s="45"/>
      <c r="E83" s="46"/>
      <c r="F83" s="47"/>
      <c r="G83" s="47"/>
      <c r="H83" s="45"/>
      <c r="I83" s="45"/>
      <c r="J83" s="45"/>
    </row>
    <row r="84" spans="2:10" x14ac:dyDescent="0.3">
      <c r="B84" s="45"/>
      <c r="C84" s="45"/>
      <c r="D84" s="45"/>
      <c r="E84" s="46"/>
      <c r="F84" s="47"/>
      <c r="G84" s="47"/>
    </row>
  </sheetData>
  <sheetProtection insertRows="0" deleteRows="0" selectLockedCells="1"/>
  <protectedRanges>
    <protectedRange algorithmName="SHA-512" hashValue="dpIIogccmEy50jY/wvjkYe97MS6dPMPuImR7aZbhcYAVwvEaquAPKHok8FIHLi95rj4hZB5HEdMlbUf0A0/POw==" saltValue="QH4HAZzA9Zih6HRZXvx5NQ==" spinCount="100000" sqref="A6:F35" name="Range1"/>
  </protectedRanges>
  <mergeCells count="1">
    <mergeCell ref="A1:G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D82FB-CF24-4E8B-98E8-33D68CC4EFD3}">
  <sheetPr codeName="Sheet3"/>
  <dimension ref="A1:H21"/>
  <sheetViews>
    <sheetView workbookViewId="0">
      <selection activeCell="H11" sqref="H11"/>
    </sheetView>
  </sheetViews>
  <sheetFormatPr defaultRowHeight="14.4" x14ac:dyDescent="0.3"/>
  <cols>
    <col min="1" max="1" width="10.77734375" customWidth="1"/>
    <col min="2" max="2" width="22.44140625" bestFit="1" customWidth="1"/>
    <col min="3" max="3" width="15.6640625" customWidth="1"/>
    <col min="4" max="4" width="14.88671875" bestFit="1" customWidth="1"/>
    <col min="5" max="5" width="20.109375" bestFit="1" customWidth="1"/>
    <col min="6" max="6" width="19.109375" bestFit="1" customWidth="1"/>
    <col min="7" max="7" width="10.77734375" customWidth="1"/>
  </cols>
  <sheetData>
    <row r="1" spans="1:7" x14ac:dyDescent="0.3">
      <c r="A1" s="148" t="s">
        <v>57</v>
      </c>
      <c r="B1" s="148"/>
      <c r="C1" s="148"/>
      <c r="D1" s="148"/>
      <c r="E1" s="148"/>
      <c r="F1" s="148"/>
      <c r="G1" s="148"/>
    </row>
    <row r="2" spans="1:7" x14ac:dyDescent="0.3">
      <c r="A2" s="148"/>
      <c r="B2" s="148"/>
      <c r="C2" s="148"/>
      <c r="D2" s="148"/>
      <c r="E2" s="148"/>
      <c r="F2" s="148"/>
      <c r="G2" s="148"/>
    </row>
    <row r="3" spans="1:7" x14ac:dyDescent="0.3">
      <c r="A3" s="148"/>
      <c r="B3" s="148"/>
      <c r="C3" s="148"/>
      <c r="D3" s="148"/>
      <c r="E3" s="148"/>
      <c r="F3" s="148"/>
      <c r="G3" s="148"/>
    </row>
    <row r="4" spans="1:7" ht="15" thickBot="1" x14ac:dyDescent="0.35"/>
    <row r="5" spans="1:7" ht="18" thickTop="1" x14ac:dyDescent="0.45">
      <c r="B5" s="34" t="s">
        <v>43</v>
      </c>
      <c r="C5" s="151"/>
      <c r="D5" s="151"/>
      <c r="E5" s="151"/>
      <c r="F5" s="152"/>
    </row>
    <row r="6" spans="1:7" ht="17.399999999999999" x14ac:dyDescent="0.45">
      <c r="B6" s="35" t="s">
        <v>44</v>
      </c>
      <c r="C6" s="149"/>
      <c r="D6" s="149"/>
      <c r="E6" s="149"/>
      <c r="F6" s="150"/>
    </row>
    <row r="7" spans="1:7" ht="18" thickBot="1" x14ac:dyDescent="0.5">
      <c r="B7" s="36" t="s">
        <v>45</v>
      </c>
      <c r="C7" s="146"/>
      <c r="D7" s="146"/>
      <c r="E7" s="146"/>
      <c r="F7" s="147"/>
      <c r="G7" s="1"/>
    </row>
    <row r="8" spans="1:7" ht="15" thickTop="1" x14ac:dyDescent="0.3"/>
    <row r="9" spans="1:7" ht="34.799999999999997" x14ac:dyDescent="0.3">
      <c r="C9" s="50" t="s">
        <v>46</v>
      </c>
      <c r="D9" s="51" t="s">
        <v>47</v>
      </c>
      <c r="E9" s="50" t="s">
        <v>48</v>
      </c>
      <c r="F9" s="52" t="s">
        <v>49</v>
      </c>
    </row>
    <row r="10" spans="1:7" ht="17.399999999999999" x14ac:dyDescent="0.45">
      <c r="B10" s="53" t="s">
        <v>50</v>
      </c>
      <c r="C10" s="54">
        <f>'Labor &amp; Scope'!E57</f>
        <v>0</v>
      </c>
      <c r="D10" s="42">
        <v>35</v>
      </c>
      <c r="E10" s="55">
        <f>C10/(1-(D10/100))-C10</f>
        <v>0</v>
      </c>
      <c r="F10" s="22">
        <f>SUM(C10,E10)</f>
        <v>0</v>
      </c>
    </row>
    <row r="11" spans="1:7" ht="17.399999999999999" x14ac:dyDescent="0.45">
      <c r="B11" s="53" t="s">
        <v>51</v>
      </c>
      <c r="C11" s="56">
        <f>Materials!G37</f>
        <v>0</v>
      </c>
      <c r="D11" s="42">
        <v>35</v>
      </c>
      <c r="E11" s="55">
        <f>C11/(1-(D11/100))-C11</f>
        <v>0</v>
      </c>
      <c r="F11" s="22">
        <f>SUM(C11,E11)</f>
        <v>0</v>
      </c>
    </row>
    <row r="12" spans="1:7" ht="17.399999999999999" x14ac:dyDescent="0.45">
      <c r="B12" s="53" t="s">
        <v>52</v>
      </c>
      <c r="C12" s="56">
        <f>'Sub-Labor'!E37</f>
        <v>0</v>
      </c>
      <c r="D12" s="42">
        <v>35</v>
      </c>
      <c r="E12" s="55">
        <f>C12/(1-(D12/100))-C12</f>
        <v>0</v>
      </c>
      <c r="F12" s="22">
        <f>SUM(C12,E12)</f>
        <v>0</v>
      </c>
    </row>
    <row r="13" spans="1:7" ht="17.399999999999999" x14ac:dyDescent="0.45">
      <c r="B13" s="53" t="s">
        <v>56</v>
      </c>
      <c r="C13" s="56">
        <f>Misc!G36</f>
        <v>0</v>
      </c>
      <c r="D13" s="42">
        <v>35</v>
      </c>
      <c r="E13" s="55">
        <f>C13/(1-(D13/100))-C13</f>
        <v>0</v>
      </c>
      <c r="F13" s="22">
        <f>SUM(C13,E13)</f>
        <v>0</v>
      </c>
    </row>
    <row r="14" spans="1:7" ht="17.399999999999999" x14ac:dyDescent="0.45">
      <c r="B14" s="53" t="s">
        <v>53</v>
      </c>
      <c r="C14" s="64"/>
      <c r="D14" s="62">
        <v>0.05</v>
      </c>
      <c r="E14" s="63"/>
      <c r="F14" s="22">
        <f>D14*SUM(F10:F13)</f>
        <v>0</v>
      </c>
    </row>
    <row r="15" spans="1:7" ht="17.399999999999999" x14ac:dyDescent="0.45">
      <c r="C15" s="58">
        <f>SUM(C10:C13)</f>
        <v>0</v>
      </c>
      <c r="D15" s="59"/>
      <c r="E15" s="60">
        <f>SUM(E10:E13)</f>
        <v>0</v>
      </c>
      <c r="G15" s="21"/>
    </row>
    <row r="17" spans="5:8" ht="17.399999999999999" x14ac:dyDescent="0.3">
      <c r="E17" s="90" t="s">
        <v>66</v>
      </c>
      <c r="F17" s="142">
        <v>0</v>
      </c>
      <c r="H17" s="6"/>
    </row>
    <row r="18" spans="5:8" ht="17.399999999999999" x14ac:dyDescent="0.3">
      <c r="E18" s="90" t="s">
        <v>67</v>
      </c>
      <c r="F18" s="142">
        <v>0</v>
      </c>
    </row>
    <row r="19" spans="5:8" ht="17.399999999999999" x14ac:dyDescent="0.3">
      <c r="E19" s="90" t="s">
        <v>54</v>
      </c>
      <c r="F19" s="65">
        <f>SUM(F10:F14)+F17+F18</f>
        <v>0</v>
      </c>
    </row>
    <row r="20" spans="5:8" ht="17.399999999999999" x14ac:dyDescent="0.3">
      <c r="E20" s="66" t="s">
        <v>55</v>
      </c>
      <c r="F20" s="61">
        <f>0.0825*F19</f>
        <v>0</v>
      </c>
    </row>
    <row r="21" spans="5:8" ht="17.399999999999999" x14ac:dyDescent="0.3">
      <c r="E21" s="66" t="s">
        <v>42</v>
      </c>
      <c r="F21" s="57">
        <f>SUM(F19:F20)</f>
        <v>0</v>
      </c>
    </row>
  </sheetData>
  <sheetProtection formatCells="0" selectLockedCells="1"/>
  <protectedRanges>
    <protectedRange sqref="D10:D14 C6:F7" name="Estimate"/>
  </protectedRanges>
  <mergeCells count="4">
    <mergeCell ref="C7:F7"/>
    <mergeCell ref="A1:G3"/>
    <mergeCell ref="C6:F6"/>
    <mergeCell ref="C5:F5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E3475-4F39-46C4-B370-154C78C63AB4}">
  <sheetPr codeName="Sheet4"/>
  <dimension ref="A1:Q20"/>
  <sheetViews>
    <sheetView tabSelected="1" workbookViewId="0">
      <selection activeCell="M8" sqref="M8"/>
    </sheetView>
  </sheetViews>
  <sheetFormatPr defaultRowHeight="14.4" x14ac:dyDescent="0.3"/>
  <cols>
    <col min="1" max="1" width="7.5546875" bestFit="1" customWidth="1"/>
    <col min="2" max="2" width="11" customWidth="1"/>
    <col min="3" max="3" width="10.77734375" customWidth="1"/>
    <col min="4" max="4" width="13.44140625" customWidth="1"/>
    <col min="5" max="5" width="14.77734375" customWidth="1"/>
    <col min="6" max="6" width="11" customWidth="1"/>
    <col min="7" max="8" width="11.33203125" customWidth="1"/>
    <col min="9" max="9" width="11.21875" customWidth="1"/>
    <col min="10" max="10" width="12.6640625" customWidth="1"/>
    <col min="11" max="11" width="12" customWidth="1"/>
    <col min="12" max="17" width="12.77734375" customWidth="1"/>
  </cols>
  <sheetData>
    <row r="1" spans="1:17" ht="28.8" x14ac:dyDescent="0.3">
      <c r="B1" s="159" t="s">
        <v>13</v>
      </c>
      <c r="C1" s="160"/>
      <c r="D1" s="161"/>
      <c r="E1" s="37" t="s">
        <v>5</v>
      </c>
    </row>
    <row r="2" spans="1:17" x14ac:dyDescent="0.3">
      <c r="B2" s="162" t="s">
        <v>2</v>
      </c>
      <c r="C2" s="163"/>
      <c r="D2" s="23"/>
      <c r="E2" s="16">
        <f>D2-E20</f>
        <v>0</v>
      </c>
      <c r="F2" s="6"/>
    </row>
    <row r="3" spans="1:17" x14ac:dyDescent="0.3">
      <c r="B3" s="162" t="s">
        <v>1</v>
      </c>
      <c r="C3" s="163"/>
      <c r="D3" s="23"/>
      <c r="E3" s="16">
        <f>D3-G20</f>
        <v>0</v>
      </c>
    </row>
    <row r="4" spans="1:17" x14ac:dyDescent="0.3">
      <c r="B4" s="162" t="s">
        <v>4</v>
      </c>
      <c r="C4" s="163"/>
      <c r="D4" s="23"/>
      <c r="E4" s="16">
        <f>D4-I20</f>
        <v>0</v>
      </c>
    </row>
    <row r="5" spans="1:17" x14ac:dyDescent="0.3">
      <c r="B5" s="164" t="s">
        <v>12</v>
      </c>
      <c r="C5" s="165"/>
      <c r="D5" s="24"/>
      <c r="E5" s="16">
        <f>D5-K20</f>
        <v>0</v>
      </c>
      <c r="F5" s="6"/>
    </row>
    <row r="6" spans="1:17" x14ac:dyDescent="0.3">
      <c r="B6" s="162" t="s">
        <v>11</v>
      </c>
      <c r="C6" s="163"/>
      <c r="D6" s="23"/>
      <c r="E6" s="16">
        <f>D6-N20</f>
        <v>0</v>
      </c>
      <c r="F6" s="6"/>
    </row>
    <row r="7" spans="1:17" x14ac:dyDescent="0.3">
      <c r="B7" s="166" t="s">
        <v>62</v>
      </c>
      <c r="C7" s="167"/>
      <c r="D7" s="25">
        <v>0</v>
      </c>
      <c r="E7" s="16">
        <f>D7-M20</f>
        <v>0</v>
      </c>
    </row>
    <row r="8" spans="1:17" ht="15" thickBot="1" x14ac:dyDescent="0.35">
      <c r="B8" s="168" t="s">
        <v>0</v>
      </c>
      <c r="C8" s="169"/>
      <c r="D8" s="26">
        <f>D6+D7</f>
        <v>0</v>
      </c>
      <c r="E8" s="19">
        <f>D8-P20</f>
        <v>0</v>
      </c>
    </row>
    <row r="9" spans="1:17" ht="15" thickBot="1" x14ac:dyDescent="0.35">
      <c r="B9" s="2"/>
      <c r="C9" s="2"/>
      <c r="D9" s="3"/>
      <c r="E9" s="15"/>
      <c r="F9" s="6"/>
    </row>
    <row r="10" spans="1:17" ht="15" thickBot="1" x14ac:dyDescent="0.35">
      <c r="B10" s="20" t="s">
        <v>14</v>
      </c>
      <c r="C10" s="17">
        <v>0.1</v>
      </c>
      <c r="D10" s="18">
        <f>O20</f>
        <v>0</v>
      </c>
      <c r="E10" s="103"/>
    </row>
    <row r="11" spans="1:17" x14ac:dyDescent="0.3">
      <c r="B11" s="2"/>
      <c r="C11" s="2"/>
      <c r="D11" s="14"/>
      <c r="E11" s="6"/>
    </row>
    <row r="12" spans="1:17" ht="15" thickBot="1" x14ac:dyDescent="0.35"/>
    <row r="13" spans="1:17" ht="28.8" customHeight="1" x14ac:dyDescent="0.3">
      <c r="A13" s="153" t="s">
        <v>7</v>
      </c>
      <c r="B13" s="153" t="s">
        <v>64</v>
      </c>
      <c r="C13" s="153" t="s">
        <v>65</v>
      </c>
      <c r="D13" s="156" t="s">
        <v>15</v>
      </c>
      <c r="E13" s="157"/>
      <c r="F13" s="157"/>
      <c r="G13" s="157"/>
      <c r="H13" s="157"/>
      <c r="I13" s="157"/>
      <c r="J13" s="157"/>
      <c r="K13" s="158"/>
      <c r="L13" s="153" t="s">
        <v>10</v>
      </c>
      <c r="M13" s="153" t="s">
        <v>63</v>
      </c>
      <c r="N13" s="153" t="s">
        <v>8</v>
      </c>
      <c r="O13" s="153" t="s">
        <v>9</v>
      </c>
      <c r="P13" s="153" t="s">
        <v>3</v>
      </c>
      <c r="Q13" s="153" t="s">
        <v>6</v>
      </c>
    </row>
    <row r="14" spans="1:17" s="33" customFormat="1" ht="29.4" thickBot="1" x14ac:dyDescent="0.35">
      <c r="A14" s="154"/>
      <c r="B14" s="170"/>
      <c r="C14" s="170"/>
      <c r="D14" s="38" t="s">
        <v>16</v>
      </c>
      <c r="E14" s="39" t="s">
        <v>17</v>
      </c>
      <c r="F14" s="40" t="s">
        <v>18</v>
      </c>
      <c r="G14" s="39" t="s">
        <v>19</v>
      </c>
      <c r="H14" s="40" t="s">
        <v>20</v>
      </c>
      <c r="I14" s="39" t="s">
        <v>21</v>
      </c>
      <c r="J14" s="40" t="s">
        <v>22</v>
      </c>
      <c r="K14" s="41" t="s">
        <v>23</v>
      </c>
      <c r="L14" s="155"/>
      <c r="M14" s="155"/>
      <c r="N14" s="155"/>
      <c r="O14" s="155"/>
      <c r="P14" s="155"/>
      <c r="Q14" s="155"/>
    </row>
    <row r="15" spans="1:17" x14ac:dyDescent="0.3">
      <c r="A15" s="5">
        <v>1</v>
      </c>
      <c r="B15" s="9"/>
      <c r="C15" s="12"/>
      <c r="D15" s="101"/>
      <c r="E15" s="31">
        <f>D15*$D$2</f>
        <v>0</v>
      </c>
      <c r="F15" s="99"/>
      <c r="G15" s="32">
        <f>F15*$D$3</f>
        <v>0</v>
      </c>
      <c r="H15" s="99"/>
      <c r="I15" s="32">
        <f>H15*$D$4</f>
        <v>0</v>
      </c>
      <c r="J15" s="99"/>
      <c r="K15" s="32">
        <f>J15*$D$5</f>
        <v>0</v>
      </c>
      <c r="L15" s="97"/>
      <c r="M15" s="96">
        <f>L15*$D$7</f>
        <v>0</v>
      </c>
      <c r="N15" s="7">
        <f>E15+G15+I15+K15+M15</f>
        <v>0</v>
      </c>
      <c r="O15" s="27">
        <f>(N15*$C$10)</f>
        <v>0</v>
      </c>
      <c r="P15" s="7">
        <f>N15-O15</f>
        <v>0</v>
      </c>
      <c r="Q15" s="7">
        <f>P15</f>
        <v>0</v>
      </c>
    </row>
    <row r="16" spans="1:17" x14ac:dyDescent="0.3">
      <c r="A16" s="4">
        <v>2</v>
      </c>
      <c r="B16" s="10"/>
      <c r="C16" s="13"/>
      <c r="D16" s="102"/>
      <c r="E16" s="29">
        <f t="shared" ref="E16:E19" si="0">D16*$D$2</f>
        <v>0</v>
      </c>
      <c r="F16" s="100"/>
      <c r="G16" s="30">
        <f t="shared" ref="G16:G19" si="1">F16*$D$3</f>
        <v>0</v>
      </c>
      <c r="H16" s="100"/>
      <c r="I16" s="30">
        <f t="shared" ref="I16:I19" si="2">H16*$D$4</f>
        <v>0</v>
      </c>
      <c r="J16" s="100"/>
      <c r="K16" s="30">
        <f t="shared" ref="K16:K19" si="3">J16*$D$5</f>
        <v>0</v>
      </c>
      <c r="L16" s="97"/>
      <c r="M16" s="96">
        <f t="shared" ref="M16:M19" si="4">L16*$D$7</f>
        <v>0</v>
      </c>
      <c r="N16" s="7">
        <f t="shared" ref="N16:N19" si="5">E16+G16+I16+K16+M16</f>
        <v>0</v>
      </c>
      <c r="O16" s="27">
        <f t="shared" ref="O16:O19" si="6">(N16*$C$10)</f>
        <v>0</v>
      </c>
      <c r="P16" s="7">
        <f t="shared" ref="P16:P19" si="7">N16-O16</f>
        <v>0</v>
      </c>
      <c r="Q16" s="8">
        <f>Q15+P16</f>
        <v>0</v>
      </c>
    </row>
    <row r="17" spans="1:17" x14ac:dyDescent="0.3">
      <c r="A17" s="4">
        <v>3</v>
      </c>
      <c r="B17" s="10"/>
      <c r="C17" s="13"/>
      <c r="D17" s="102"/>
      <c r="E17" s="29">
        <f t="shared" si="0"/>
        <v>0</v>
      </c>
      <c r="F17" s="100"/>
      <c r="G17" s="30">
        <f t="shared" si="1"/>
        <v>0</v>
      </c>
      <c r="H17" s="100"/>
      <c r="I17" s="30">
        <f t="shared" si="2"/>
        <v>0</v>
      </c>
      <c r="J17" s="100"/>
      <c r="K17" s="30">
        <f t="shared" si="3"/>
        <v>0</v>
      </c>
      <c r="L17" s="97"/>
      <c r="M17" s="96">
        <f t="shared" si="4"/>
        <v>0</v>
      </c>
      <c r="N17" s="7">
        <f t="shared" si="5"/>
        <v>0</v>
      </c>
      <c r="O17" s="27">
        <f t="shared" si="6"/>
        <v>0</v>
      </c>
      <c r="P17" s="7">
        <f t="shared" si="7"/>
        <v>0</v>
      </c>
      <c r="Q17" s="8">
        <f>Q16+P17</f>
        <v>0</v>
      </c>
    </row>
    <row r="18" spans="1:17" x14ac:dyDescent="0.3">
      <c r="A18" s="4">
        <v>4</v>
      </c>
      <c r="B18" s="10"/>
      <c r="C18" s="13"/>
      <c r="D18" s="102"/>
      <c r="E18" s="29">
        <f t="shared" si="0"/>
        <v>0</v>
      </c>
      <c r="F18" s="100"/>
      <c r="G18" s="30">
        <f t="shared" si="1"/>
        <v>0</v>
      </c>
      <c r="H18" s="100"/>
      <c r="I18" s="30">
        <f t="shared" si="2"/>
        <v>0</v>
      </c>
      <c r="J18" s="100"/>
      <c r="K18" s="30">
        <f t="shared" si="3"/>
        <v>0</v>
      </c>
      <c r="L18" s="97"/>
      <c r="M18" s="96">
        <f t="shared" si="4"/>
        <v>0</v>
      </c>
      <c r="N18" s="7">
        <f t="shared" si="5"/>
        <v>0</v>
      </c>
      <c r="O18" s="27">
        <f t="shared" si="6"/>
        <v>0</v>
      </c>
      <c r="P18" s="7">
        <f t="shared" si="7"/>
        <v>0</v>
      </c>
      <c r="Q18" s="8">
        <f>Q17+P18</f>
        <v>0</v>
      </c>
    </row>
    <row r="19" spans="1:17" x14ac:dyDescent="0.3">
      <c r="A19" s="4">
        <v>5</v>
      </c>
      <c r="B19" s="10"/>
      <c r="C19" s="13"/>
      <c r="D19" s="102"/>
      <c r="E19" s="29">
        <f t="shared" si="0"/>
        <v>0</v>
      </c>
      <c r="F19" s="100"/>
      <c r="G19" s="30">
        <f t="shared" si="1"/>
        <v>0</v>
      </c>
      <c r="H19" s="100"/>
      <c r="I19" s="30">
        <f t="shared" si="2"/>
        <v>0</v>
      </c>
      <c r="J19" s="100"/>
      <c r="K19" s="30">
        <f t="shared" si="3"/>
        <v>0</v>
      </c>
      <c r="L19" s="97"/>
      <c r="M19" s="96">
        <f t="shared" si="4"/>
        <v>0</v>
      </c>
      <c r="N19" s="7">
        <f t="shared" si="5"/>
        <v>0</v>
      </c>
      <c r="O19" s="27">
        <f t="shared" si="6"/>
        <v>0</v>
      </c>
      <c r="P19" s="7">
        <f t="shared" si="7"/>
        <v>0</v>
      </c>
      <c r="Q19" s="8">
        <f>Q18+P19</f>
        <v>0</v>
      </c>
    </row>
    <row r="20" spans="1:17" x14ac:dyDescent="0.3">
      <c r="B20" s="1"/>
      <c r="C20" s="1"/>
      <c r="D20" s="98">
        <f t="shared" ref="D20:L20" si="8">SUM(D15:D19)</f>
        <v>0</v>
      </c>
      <c r="E20" s="6">
        <f t="shared" si="8"/>
        <v>0</v>
      </c>
      <c r="F20" s="98">
        <f t="shared" si="8"/>
        <v>0</v>
      </c>
      <c r="G20" s="6">
        <f t="shared" si="8"/>
        <v>0</v>
      </c>
      <c r="H20" s="98">
        <f t="shared" si="8"/>
        <v>0</v>
      </c>
      <c r="I20" s="6">
        <f t="shared" si="8"/>
        <v>0</v>
      </c>
      <c r="J20" s="98">
        <f t="shared" si="8"/>
        <v>0</v>
      </c>
      <c r="K20" s="6">
        <f t="shared" si="8"/>
        <v>0</v>
      </c>
      <c r="L20" s="98">
        <f t="shared" si="8"/>
        <v>0</v>
      </c>
      <c r="M20" s="11">
        <f>SUM(M15:M19)</f>
        <v>0</v>
      </c>
      <c r="N20" s="11">
        <f>SUM(N15:N19)</f>
        <v>0</v>
      </c>
      <c r="O20" s="28">
        <f>SUM(O15:O19)</f>
        <v>0</v>
      </c>
      <c r="P20" s="11">
        <f>SUM(P15:P19)</f>
        <v>0</v>
      </c>
      <c r="Q20" s="1"/>
    </row>
  </sheetData>
  <mergeCells count="18">
    <mergeCell ref="B7:C7"/>
    <mergeCell ref="B8:C8"/>
    <mergeCell ref="B6:C6"/>
    <mergeCell ref="B13:B14"/>
    <mergeCell ref="C13:C14"/>
    <mergeCell ref="B1:D1"/>
    <mergeCell ref="B2:C2"/>
    <mergeCell ref="B3:C3"/>
    <mergeCell ref="B4:C4"/>
    <mergeCell ref="B5:C5"/>
    <mergeCell ref="A13:A14"/>
    <mergeCell ref="O13:O14"/>
    <mergeCell ref="P13:P14"/>
    <mergeCell ref="Q13:Q14"/>
    <mergeCell ref="L13:L14"/>
    <mergeCell ref="N13:N14"/>
    <mergeCell ref="D13:K13"/>
    <mergeCell ref="M13:M14"/>
  </mergeCells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F74915351F8A43A40FA587098BA455" ma:contentTypeVersion="18" ma:contentTypeDescription="Create a new document." ma:contentTypeScope="" ma:versionID="56ca08b3ad16e6c0577ab721fbd3cf17">
  <xsd:schema xmlns:xsd="http://www.w3.org/2001/XMLSchema" xmlns:xs="http://www.w3.org/2001/XMLSchema" xmlns:p="http://schemas.microsoft.com/office/2006/metadata/properties" xmlns:ns2="7547a256-fcca-4d36-8e8b-d734fd749ebb" xmlns:ns3="37d08d3c-452c-4856-856f-d73997a4274f" targetNamespace="http://schemas.microsoft.com/office/2006/metadata/properties" ma:root="true" ma:fieldsID="cc9d3df3a20da7020b10b23e0428a93c" ns2:_="" ns3:_="">
    <xsd:import namespace="7547a256-fcca-4d36-8e8b-d734fd749ebb"/>
    <xsd:import namespace="37d08d3c-452c-4856-856f-d73997a4274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47a256-fcca-4d36-8e8b-d734fd749e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dd99b87d-f921-4c2a-acf4-b8f8099ab87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d08d3c-452c-4856-856f-d73997a4274f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1c421ecd-6002-45d7-9cc0-d205e0e47519}" ma:internalName="TaxCatchAll" ma:showField="CatchAllData" ma:web="37d08d3c-452c-4856-856f-d73997a4274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7d08d3c-452c-4856-856f-d73997a4274f" xsi:nil="true"/>
    <lcf76f155ced4ddcb4097134ff3c332f xmlns="7547a256-fcca-4d36-8e8b-d734fd749eb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82262A3-8536-42AB-AFC2-5B698DFFDE6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47a256-fcca-4d36-8e8b-d734fd749ebb"/>
    <ds:schemaRef ds:uri="37d08d3c-452c-4856-856f-d73997a427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C5B3DFD-7067-497B-B978-5DD6D143AC7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71C45D-CC2A-4E20-A0D2-038DA461CDFC}">
  <ds:schemaRefs>
    <ds:schemaRef ds:uri="http://schemas.microsoft.com/office/2006/metadata/properties"/>
    <ds:schemaRef ds:uri="http://schemas.microsoft.com/office/infopath/2007/PartnerControls"/>
    <ds:schemaRef ds:uri="37d08d3c-452c-4856-856f-d73997a4274f"/>
    <ds:schemaRef ds:uri="7547a256-fcca-4d36-8e8b-d734fd749eb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Labor &amp; Scope</vt:lpstr>
      <vt:lpstr>Materials</vt:lpstr>
      <vt:lpstr>Sub-Labor</vt:lpstr>
      <vt:lpstr>Misc</vt:lpstr>
      <vt:lpstr>Final Estimate</vt:lpstr>
      <vt:lpstr>Billing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 Lewis</dc:creator>
  <cp:lastModifiedBy>Jessica Lewis</cp:lastModifiedBy>
  <dcterms:created xsi:type="dcterms:W3CDTF">2023-05-11T15:37:42Z</dcterms:created>
  <dcterms:modified xsi:type="dcterms:W3CDTF">2025-05-22T15:12:00Z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0x0101003BF74915351F8A43A40FA587098BA455</vt:lpwstr>
  </property>
  <property fmtid="{D5CDD505-2E9C-101B-9397-08002B2CF9AE}" pid="3" name="MediaServiceImageTags">
    <vt:lpwstr/>
  </property>
</Properties>
</file>